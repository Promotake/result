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bb2a2c837248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зультаты" sheetId="1" r:id="R17ff2fae5a2e4dd4"/>
    <x:sheet xmlns:r="http://schemas.openxmlformats.org/officeDocument/2006/relationships" name="Сводка" sheetId="2" r:id="R63042276cafa4b92"/>
    <x:sheet xmlns:r="http://schemas.openxmlformats.org/officeDocument/2006/relationships" name="Ключ" sheetId="3" r:id="R64c74532951646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 hh:mm:ss"/>
    <x:numFmt numFmtId="201" formatCode="0"/>
    <x:numFmt numFmtId="202" formatCode="0.0"/>
    <x:numFmt numFmtId="203" formatCode="@"/>
  </x:numFmts>
  <x:fonts count="6">
    <x:font>
      <x:sz val="11"/>
      <x:name val="Carlito"/>
    </x:font>
    <x:font>
      <x:b/>
      <x:sz val="11"/>
      <x:color rgb="111827"/>
      <x:name val="Carlito"/>
    </x:font>
    <x:font>
      <x:i/>
      <x:sz val="11"/>
      <x:color rgb="92400E"/>
      <x:name val="Carlito"/>
    </x:font>
    <x:font>
      <x:b/>
      <x:sz val="11"/>
      <x:color rgb="075985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D9EAD3"/>
      </x:patternFill>
    </x:fill>
    <x:fill>
      <x:patternFill patternType="solid">
        <x:fgColor rgb="FEF3C7"/>
      </x:patternFill>
    </x:fill>
    <x:fill>
      <x:patternFill patternType="solid">
        <x:fgColor rgb="EEF6E8"/>
      </x:patternFill>
    </x:fill>
    <x:fill>
      <x:patternFill patternType="solid">
        <x:fgColor rgb="E0F2FE"/>
      </x:patternFill>
    </x:fill>
    <x:fill>
      <x:patternFill patternType="solid">
        <x:fgColor rgb="F3F4F6"/>
      </x:patternFill>
    </x:fill>
    <x:fill>
      <x:patternFill patternType="solid">
        <x:fgColor rgb="0F766E"/>
      </x:patternFill>
    </x:fill>
    <x:fill>
      <x:patternFill patternType="solid">
        <x:fgColor rgb="F9FAFB"/>
      </x:patternFill>
    </x:fill>
  </x:fills>
  <x:borders count="2">
    <x:border/>
    <x:border/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left"/>
    </x:xf>
    <x:xf numFmtId="0" fontId="4" fillId="7" borderId="0" xfId="0" applyNumberFormat="1" applyFont="1" applyFill="1" applyBorder="1" applyAlignment="1">
      <x:alignment horizontal="left" vertical="center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horizontal="left"/>
    </x:xf>
    <x:xf numFmtId="0" fontId="4" fillId="7" borderId="1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left" vertical="center" wrapText="1"/>
    </x:xf>
    <x:xf numFmtId="0" fontId="5" fillId="8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4" fillId="7" borderId="1" xfId="0" applyNumberFormat="1" applyFont="1" applyFill="1" applyBorder="1" applyAlignment="1">
      <x:alignment horizontal="left" vertical="center" wrapText="1"/>
    </x:xf>
    <x:xf numFmtId="0" fontId="5" fillId="8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202" fontId="5" fillId="8" borderId="0" xfId="0" applyNumberFormat="1" applyFont="1" applyFill="1" applyBorder="1" applyAlignment="1">
      <x:alignment horizontal="center" wrapText="1"/>
    </x:xf>
    <x:xf numFmtId="202" fontId="5" fillId="8" borderId="1" xfId="0" applyNumberFormat="1" applyFont="1" applyFill="1" applyBorder="1" applyAlignment="1">
      <x:alignment horizontal="center" wrapText="1"/>
    </x:xf>
    <x:xf numFmtId="201" fontId="5" fillId="8" borderId="0" xfId="0" applyNumberFormat="1" applyFont="1" applyFill="1" applyBorder="1" applyAlignment="1">
      <x:alignment horizontal="center" wrapText="1"/>
    </x:xf>
    <x:xf numFmtId="201" fontId="5" fillId="8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166534"/>
      </x:font>
      <x:fill>
        <x:patternFill>
          <x:bgColor rgb="DCFCE7"/>
        </x:patternFill>
      </x:fill>
    </x:dxf>
    <x:dxf>
      <x:font>
        <x:b/>
        <x:color rgb="991B1B"/>
      </x:font>
      <x:fill>
        <x:patternFill>
          <x:bgColor rgb="FEE2E2"/>
        </x:patternFill>
      </x:fill>
    </x:dxf>
    <x:dxf>
      <x:font>
        <x:b/>
        <x:color rgb="7F1D1D"/>
      </x:font>
      <x:fill>
        <x:patternFill>
          <x:bgColor rgb="FCA5A5"/>
        </x:patternFill>
      </x:fill>
    </x:dxf>
    <x:dxf>
      <x:font>
        <x:b/>
        <x:color rgb="166534"/>
      </x:font>
      <x:fill>
        <x:patternFill>
          <x:bgColor rgb="DCFCE7"/>
        </x:patternFill>
      </x:fill>
    </x:dxf>
    <x:dxf>
      <x:font>
        <x:b/>
        <x:color rgb="991B1B"/>
      </x:font>
      <x:fill>
        <x:patternFill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be112beaef44c1" /><Relationship Type="http://schemas.openxmlformats.org/officeDocument/2006/relationships/theme" Target="/xl/theme/theme1.xml" Id="Reeb3540ed1bd4c74" /><Relationship Type="http://schemas.openxmlformats.org/officeDocument/2006/relationships/sharedStrings" Target="/xl/sharedStrings.xml" Id="R6df305c135b34bce" /><Relationship Type="http://schemas.openxmlformats.org/officeDocument/2006/relationships/worksheet" Target="/xl/worksheets/sheet1.xml" Id="R17ff2fae5a2e4dd4" /><Relationship Type="http://schemas.openxmlformats.org/officeDocument/2006/relationships/worksheet" Target="/xl/worksheets/sheet2.xml" Id="R63042276cafa4b92" /><Relationship Type="http://schemas.openxmlformats.org/officeDocument/2006/relationships/worksheet" Target="/xl/worksheets/sheet3.xml" Id="R64c745329516465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8cb889227014ab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Распределение баллов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Кол-во</c:v>
          </c:tx>
          <c:cat>
            <c:strRef>
              <c:f>'Сводка'!$D$5:$D$9</c:f>
              <c:strCache>
                <c:ptCount val="0"/>
              </c:strCache>
            </c:strRef>
          </c:cat>
          <c:val>
            <c:numRef>
              <c:f>'Сводка'!$E$5:$E$9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10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cb889227014ab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xamResultsTable" displayName="ExamResultsTable" ref="A1:AG36" headerRowCount="1">
  <x:tableColumns count="33">
    <x:tableColumn id="1" name="Дата"/>
    <x:tableColumn id="2" name="Фамилия Имя"/>
    <x:tableColumn id="3" name="Возраст"/>
    <x:tableColumn id="4" name="Игровой ник"/>
    <x:tableColumn id="5" name="Telegram"/>
    <x:tableColumn id="6" name="Баллы"/>
    <x:tableColumn id="7" name="Максимум"/>
    <x:tableColumn id="8" name="Тип данных"/>
    <x:tableColumn id="9" name="Вопрос 1"/>
    <x:tableColumn id="10" name="Вопрос 2"/>
    <x:tableColumn id="11" name="Вопрос 3"/>
    <x:tableColumn id="12" name="Вопрос 4"/>
    <x:tableColumn id="13" name="Вопрос 5"/>
    <x:tableColumn id="14" name="Вопрос 6"/>
    <x:tableColumn id="15" name="Вопрос 7"/>
    <x:tableColumn id="16" name="Вопрос 8"/>
    <x:tableColumn id="17" name="Вопрос 9"/>
    <x:tableColumn id="18" name="Вопрос 10"/>
    <x:tableColumn id="19" name="Вопрос 11"/>
    <x:tableColumn id="20" name="Вопрос 12"/>
    <x:tableColumn id="21" name="Вопрос 13"/>
    <x:tableColumn id="22" name="Вопрос 14"/>
    <x:tableColumn id="23" name="Вопрос 15"/>
    <x:tableColumn id="24" name="Вопрос 16"/>
    <x:tableColumn id="25" name="Вопрос 17"/>
    <x:tableColumn id="26" name="Вопрос 18"/>
    <x:tableColumn id="27" name="Вопрос 19"/>
    <x:tableColumn id="28" name="Вопрос 20"/>
    <x:tableColumn id="29" name="Вопрос 21"/>
    <x:tableColumn id="30" name="Вопрос 22"/>
    <x:tableColumn id="31" name="Вопрос 23"/>
    <x:tableColumn id="32" name="Вопрос 24"/>
    <x:tableColumn id="33" name="Вопрос 25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00c58b070646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586d08e21d3483c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4" hidden="0" customWidth="1"/>
    <x:col min="3" max="3" width="9" hidden="0" customWidth="1"/>
    <x:col min="4" max="4" width="18" hidden="0" customWidth="1"/>
    <x:col min="5" max="5" width="20" hidden="0" customWidth="1"/>
    <x:col min="6" max="6" width="12" hidden="0" customWidth="1"/>
    <x:col min="7" max="7" width="12" hidden="0" customWidth="1"/>
    <x:col min="8" max="8" width="12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</x:cols>
  <x:sheetData>
    <x:row r="1" ht="28" customHeight="1">
      <x:c r="A1" s="6" t="str">
        <x:v>Дата</x:v>
      </x:c>
      <x:c r="B1" s="6" t="str">
        <x:v>Фамилия Имя</x:v>
      </x:c>
      <x:c r="C1" s="6" t="str">
        <x:v>Возраст</x:v>
      </x:c>
      <x:c r="D1" s="6" t="str">
        <x:v>Игровой ник</x:v>
      </x:c>
      <x:c r="E1" s="6" t="str">
        <x:v>Telegram</x:v>
      </x:c>
      <x:c r="F1" s="6" t="str">
        <x:v>Баллы</x:v>
      </x:c>
      <x:c r="G1" s="6" t="str">
        <x:v>Максимум</x:v>
      </x:c>
      <x:c r="H1" s="6" t="str">
        <x:v>Тип данных</x:v>
      </x:c>
      <x:c r="I1" s="6" t="str">
        <x:v>Вопрос 1</x:v>
      </x:c>
      <x:c r="J1" s="6" t="str">
        <x:v>Вопрос 2</x:v>
      </x:c>
      <x:c r="K1" s="6" t="str">
        <x:v>Вопрос 3</x:v>
      </x:c>
      <x:c r="L1" s="6" t="str">
        <x:v>Вопрос 4</x:v>
      </x:c>
      <x:c r="M1" s="6" t="str">
        <x:v>Вопрос 5</x:v>
      </x:c>
      <x:c r="N1" s="6" t="str">
        <x:v>Вопрос 6</x:v>
      </x:c>
      <x:c r="O1" s="6" t="str">
        <x:v>Вопрос 7</x:v>
      </x:c>
      <x:c r="P1" s="6" t="str">
        <x:v>Вопрос 8</x:v>
      </x:c>
      <x:c r="Q1" s="6" t="str">
        <x:v>Вопрос 9</x:v>
      </x:c>
      <x:c r="R1" s="6" t="str">
        <x:v>Вопрос 10</x:v>
      </x:c>
      <x:c r="S1" s="6" t="str">
        <x:v>Вопрос 11</x:v>
      </x:c>
      <x:c r="T1" s="6" t="str">
        <x:v>Вопрос 12</x:v>
      </x:c>
      <x:c r="U1" s="6" t="str">
        <x:v>Вопрос 13</x:v>
      </x:c>
      <x:c r="V1" s="6" t="str">
        <x:v>Вопрос 14</x:v>
      </x:c>
      <x:c r="W1" s="6" t="str">
        <x:v>Вопрос 15</x:v>
      </x:c>
      <x:c r="X1" s="6" t="str">
        <x:v>Вопрос 16</x:v>
      </x:c>
      <x:c r="Y1" s="6" t="str">
        <x:v>Вопрос 17</x:v>
      </x:c>
      <x:c r="Z1" s="6" t="str">
        <x:v>Вопрос 18</x:v>
      </x:c>
      <x:c r="AA1" s="6" t="str">
        <x:v>Вопрос 19</x:v>
      </x:c>
      <x:c r="AB1" s="6" t="str">
        <x:v>Вопрос 20</x:v>
      </x:c>
      <x:c r="AC1" s="6" t="str">
        <x:v>Вопрос 21</x:v>
      </x:c>
      <x:c r="AD1" s="6" t="str">
        <x:v>Вопрос 22</x:v>
      </x:c>
      <x:c r="AE1" s="6" t="str">
        <x:v>Вопрос 23</x:v>
      </x:c>
      <x:c r="AF1" s="6" t="str">
        <x:v>Вопрос 24</x:v>
      </x:c>
      <x:c r="AG1" s="6" t="str">
        <x:v>Вопрос 25</x:v>
      </x:c>
    </x:row>
    <x:row r="2">
      <x:c r="A2" s="75" t="str">
        <x:v>22.05.2026 13:55:26</x:v>
      </x:c>
      <x:c r="B2" s="12" t="str">
        <x:v>никита</x:v>
      </x:c>
      <x:c r="C2" s="16" t="n">
        <x:v>13</x:v>
      </x:c>
      <x:c r="D2" s="12" t="str">
        <x:v>SM | Hood</x:v>
      </x:c>
      <x:c r="E2" s="12" t="str">
        <x:v>@smhood1</x:v>
      </x:c>
      <x:c r="F2" s="16" t="n">
        <x:f>SUMPRODUCT(--(I2:AG2='Ключ'!$B$3:$Z$3))*4</x:f>
        <x:v>44</x:v>
      </x:c>
      <x:c r="G2" s="16" t="n">
        <x:v>100</x:v>
      </x:c>
      <x:c r="H2" s="20" t="str">
        <x:v>Синтетика</x:v>
      </x:c>
      <x:c r="I2" s="12" t="str">
        <x:v>B</x:v>
      </x:c>
      <x:c r="J2" s="12" t="str">
        <x:v>C</x:v>
      </x:c>
      <x:c r="K2" s="12" t="str">
        <x:v>A</x:v>
      </x:c>
      <x:c r="L2" s="12" t="str">
        <x:v>A</x:v>
      </x:c>
      <x:c r="M2" s="12" t="str">
        <x:v>D</x:v>
      </x:c>
      <x:c r="N2" s="12" t="str">
        <x:v>D</x:v>
      </x:c>
      <x:c r="O2" s="12" t="str">
        <x:v>C</x:v>
      </x:c>
      <x:c r="P2" s="12" t="str">
        <x:v>C</x:v>
      </x:c>
      <x:c r="Q2" s="12" t="str">
        <x:v>C</x:v>
      </x:c>
      <x:c r="R2" s="12" t="str">
        <x:v>A</x:v>
      </x:c>
      <x:c r="S2" s="12" t="str">
        <x:v>C</x:v>
      </x:c>
      <x:c r="T2" s="12" t="str">
        <x:v>A</x:v>
      </x:c>
      <x:c r="U2" s="12" t="str">
        <x:v>B</x:v>
      </x:c>
      <x:c r="V2" s="12" t="str">
        <x:v>C</x:v>
      </x:c>
      <x:c r="W2" s="12" t="str">
        <x:v>B</x:v>
      </x:c>
      <x:c r="X2" s="12" t="str">
        <x:v>C</x:v>
      </x:c>
      <x:c r="Y2" s="12" t="str">
        <x:v>A</x:v>
      </x:c>
      <x:c r="Z2" s="12" t="str">
        <x:v>B</x:v>
      </x:c>
      <x:c r="AA2" s="12" t="str">
        <x:v>A</x:v>
      </x:c>
      <x:c r="AB2" s="12" t="str">
        <x:v>A</x:v>
      </x:c>
      <x:c r="AC2" s="12" t="str">
        <x:v>A</x:v>
      </x:c>
      <x:c r="AD2" s="12" t="str">
        <x:v>B</x:v>
      </x:c>
      <x:c r="AE2" s="12" t="str">
        <x:v>B</x:v>
      </x:c>
      <x:c r="AF2" s="12" t="str">
        <x:v>A</x:v>
      </x:c>
      <x:c r="AG2" s="12" t="str">
        <x:v>D</x:v>
      </x:c>
    </x:row>
    <x:row r="3">
      <x:c r="A3" s="75" t="str">
        <x:v>22.05.2026 16:16:08</x:v>
      </x:c>
      <x:c r="B3" s="12" t="str">
        <x:v>Яшин Роман</x:v>
      </x:c>
      <x:c r="C3" s="16" t="n">
        <x:v>16</x:v>
      </x:c>
      <x:c r="D3" s="12" t="str">
        <x:v>boro_gg</x:v>
      </x:c>
      <x:c r="E3" s="12" t="str">
        <x:v>@boro_gg43</x:v>
      </x:c>
      <x:c r="F3" s="16" t="n">
        <x:f>SUMPRODUCT(--(I3:AG3='Ключ'!$B$3:$Z$3))*4</x:f>
        <x:v>60</x:v>
      </x:c>
      <x:c r="G3" s="16" t="n">
        <x:v>100</x:v>
      </x:c>
      <x:c r="H3" s="20" t="str">
        <x:v>Синтетика</x:v>
      </x:c>
      <x:c r="I3" s="12" t="str">
        <x:v>B</x:v>
      </x:c>
      <x:c r="J3" s="12" t="str">
        <x:v>A</x:v>
      </x:c>
      <x:c r="K3" s="12" t="str">
        <x:v>C</x:v>
      </x:c>
      <x:c r="L3" s="12" t="str">
        <x:v>B</x:v>
      </x:c>
      <x:c r="M3" s="12" t="str">
        <x:v>C</x:v>
      </x:c>
      <x:c r="N3" s="12" t="str">
        <x:v>A</x:v>
      </x:c>
      <x:c r="O3" s="12" t="str">
        <x:v>C</x:v>
      </x:c>
      <x:c r="P3" s="12" t="str">
        <x:v>D</x:v>
      </x:c>
      <x:c r="Q3" s="12" t="str">
        <x:v>C</x:v>
      </x:c>
      <x:c r="R3" s="12" t="str">
        <x:v>A</x:v>
      </x:c>
      <x:c r="S3" s="12" t="str">
        <x:v>D</x:v>
      </x:c>
      <x:c r="T3" s="12" t="str">
        <x:v>B</x:v>
      </x:c>
      <x:c r="U3" s="12" t="str">
        <x:v>B</x:v>
      </x:c>
      <x:c r="V3" s="12" t="str">
        <x:v>C</x:v>
      </x:c>
      <x:c r="W3" s="12" t="str">
        <x:v>B</x:v>
      </x:c>
      <x:c r="X3" s="12" t="str">
        <x:v>C</x:v>
      </x:c>
      <x:c r="Y3" s="12" t="str">
        <x:v>C</x:v>
      </x:c>
      <x:c r="Z3" s="12" t="str">
        <x:v>B</x:v>
      </x:c>
      <x:c r="AA3" s="12" t="str">
        <x:v>B</x:v>
      </x:c>
      <x:c r="AB3" s="12" t="str">
        <x:v>A</x:v>
      </x:c>
      <x:c r="AC3" s="12" t="str">
        <x:v>A</x:v>
      </x:c>
      <x:c r="AD3" s="12" t="str">
        <x:v>B</x:v>
      </x:c>
      <x:c r="AE3" s="12" t="str">
        <x:v>C</x:v>
      </x:c>
      <x:c r="AF3" s="12" t="str">
        <x:v>D</x:v>
      </x:c>
      <x:c r="AG3" s="12" t="str">
        <x:v>A</x:v>
      </x:c>
    </x:row>
    <x:row r="4">
      <x:c r="A4" s="75" t="str">
        <x:v>22.05.2026 17:48:06</x:v>
      </x:c>
      <x:c r="B4" s="12" t="str">
        <x:v>Федоров Кирилл</x:v>
      </x:c>
      <x:c r="C4" s="16" t="n">
        <x:v>15</x:v>
      </x:c>
      <x:c r="D4" s="12" t="str">
        <x:v>m0rj_off</x:v>
      </x:c>
      <x:c r="E4" s="12" t="str">
        <x:v>@m0rj_off_su</x:v>
      </x:c>
      <x:c r="F4" s="16" t="n">
        <x:f>SUMPRODUCT(--(I4:AG4='Ключ'!$B$3:$Z$3))*4</x:f>
        <x:v>80</x:v>
      </x:c>
      <x:c r="G4" s="16" t="n">
        <x:v>100</x:v>
      </x:c>
      <x:c r="H4" s="20" t="str">
        <x:v>Синтетика</x:v>
      </x:c>
      <x:c r="I4" s="12" t="str">
        <x:v>B</x:v>
      </x:c>
      <x:c r="J4" s="12" t="str">
        <x:v>C</x:v>
      </x:c>
      <x:c r="K4" s="12" t="str">
        <x:v>C</x:v>
      </x:c>
      <x:c r="L4" s="12" t="str">
        <x:v>D</x:v>
      </x:c>
      <x:c r="M4" s="12" t="str">
        <x:v>D</x:v>
      </x:c>
      <x:c r="N4" s="12" t="str">
        <x:v>D</x:v>
      </x:c>
      <x:c r="O4" s="12" t="str">
        <x:v>D</x:v>
      </x:c>
      <x:c r="P4" s="12" t="str">
        <x:v>C</x:v>
      </x:c>
      <x:c r="Q4" s="12" t="str">
        <x:v>A</x:v>
      </x:c>
      <x:c r="R4" s="12" t="str">
        <x:v>A</x:v>
      </x:c>
      <x:c r="S4" s="12" t="str">
        <x:v>D</x:v>
      </x:c>
      <x:c r="T4" s="12" t="str">
        <x:v>D</x:v>
      </x:c>
      <x:c r="U4" s="12" t="str">
        <x:v>D</x:v>
      </x:c>
      <x:c r="V4" s="12" t="str">
        <x:v>C</x:v>
      </x:c>
      <x:c r="W4" s="12" t="str">
        <x:v>B</x:v>
      </x:c>
      <x:c r="X4" s="12" t="str">
        <x:v>A</x:v>
      </x:c>
      <x:c r="Y4" s="12" t="str">
        <x:v>C</x:v>
      </x:c>
      <x:c r="Z4" s="12" t="str">
        <x:v>B</x:v>
      </x:c>
      <x:c r="AA4" s="12" t="str">
        <x:v>A</x:v>
      </x:c>
      <x:c r="AB4" s="12" t="str">
        <x:v>C</x:v>
      </x:c>
      <x:c r="AC4" s="12" t="str">
        <x:v>C</x:v>
      </x:c>
      <x:c r="AD4" s="12" t="str">
        <x:v>B</x:v>
      </x:c>
      <x:c r="AE4" s="12" t="str">
        <x:v>C</x:v>
      </x:c>
      <x:c r="AF4" s="12" t="str">
        <x:v>D</x:v>
      </x:c>
      <x:c r="AG4" s="12" t="str">
        <x:v>B</x:v>
      </x:c>
    </x:row>
    <x:row r="5">
      <x:c r="A5" s="75" t="str">
        <x:v>22.05.2026 18:07:27</x:v>
      </x:c>
      <x:c r="B5" s="12" t="str">
        <x:v>Савин Александр</x:v>
      </x:c>
      <x:c r="C5" s="16" t="n">
        <x:v>16</x:v>
      </x:c>
      <x:c r="D5" s="12" t="str">
        <x:v>Shadow83</x:v>
      </x:c>
      <x:c r="E5" s="12" t="str">
        <x:v>@shadow834</x:v>
      </x:c>
      <x:c r="F5" s="16" t="n">
        <x:f>SUMPRODUCT(--(I5:AG5='Ключ'!$B$3:$Z$3))*4</x:f>
        <x:v>60</x:v>
      </x:c>
      <x:c r="G5" s="16" t="n">
        <x:v>100</x:v>
      </x:c>
      <x:c r="H5" s="20" t="str">
        <x:v>Синтетика</x:v>
      </x:c>
      <x:c r="I5" s="12" t="str">
        <x:v>B</x:v>
      </x:c>
      <x:c r="J5" s="12" t="str">
        <x:v>B</x:v>
      </x:c>
      <x:c r="K5" s="12" t="str">
        <x:v>C</x:v>
      </x:c>
      <x:c r="L5" s="12" t="str">
        <x:v>C</x:v>
      </x:c>
      <x:c r="M5" s="12" t="str">
        <x:v>A</x:v>
      </x:c>
      <x:c r="N5" s="12" t="str">
        <x:v>D</x:v>
      </x:c>
      <x:c r="O5" s="12" t="str">
        <x:v>D</x:v>
      </x:c>
      <x:c r="P5" s="12" t="str">
        <x:v>D</x:v>
      </x:c>
      <x:c r="Q5" s="12" t="str">
        <x:v>C</x:v>
      </x:c>
      <x:c r="R5" s="12" t="str">
        <x:v>A</x:v>
      </x:c>
      <x:c r="S5" s="12" t="str">
        <x:v>D</x:v>
      </x:c>
      <x:c r="T5" s="12" t="str">
        <x:v>D</x:v>
      </x:c>
      <x:c r="U5" s="12" t="str">
        <x:v>D</x:v>
      </x:c>
      <x:c r="V5" s="12" t="str">
        <x:v>C</x:v>
      </x:c>
      <x:c r="W5" s="12" t="str">
        <x:v>B</x:v>
      </x:c>
      <x:c r="X5" s="12" t="str">
        <x:v>A</x:v>
      </x:c>
      <x:c r="Y5" s="12" t="str">
        <x:v>B</x:v>
      </x:c>
      <x:c r="Z5" s="12" t="str">
        <x:v>D</x:v>
      </x:c>
      <x:c r="AA5" s="12" t="str">
        <x:v>A</x:v>
      </x:c>
      <x:c r="AB5" s="12" t="str">
        <x:v>C</x:v>
      </x:c>
      <x:c r="AC5" s="12" t="str">
        <x:v>D</x:v>
      </x:c>
      <x:c r="AD5" s="12" t="str">
        <x:v>D</x:v>
      </x:c>
      <x:c r="AE5" s="12" t="str">
        <x:v>C</x:v>
      </x:c>
      <x:c r="AF5" s="12" t="str">
        <x:v>C</x:v>
      </x:c>
      <x:c r="AG5" s="12" t="str">
        <x:v>A</x:v>
      </x:c>
    </x:row>
    <x:row r="6">
      <x:c r="A6" s="75" t="str">
        <x:v>22.05.2026 18:46:18</x:v>
      </x:c>
      <x:c r="B6" s="12" t="str">
        <x:v>Яшин Богдан</x:v>
      </x:c>
      <x:c r="C6" s="16" t="n">
        <x:v>16</x:v>
      </x:c>
      <x:c r="D6" s="12" t="str">
        <x:v>aruva_off</x:v>
      </x:c>
      <x:c r="E6" s="12" t="str">
        <x:v>@aruva_off5</x:v>
      </x:c>
      <x:c r="F6" s="16" t="n">
        <x:f>SUMPRODUCT(--(I6:AG6='Ключ'!$B$3:$Z$3))*4</x:f>
        <x:v>56</x:v>
      </x:c>
      <x:c r="G6" s="16" t="n">
        <x:v>100</x:v>
      </x:c>
      <x:c r="H6" s="20" t="str">
        <x:v>Синтетика</x:v>
      </x:c>
      <x:c r="I6" s="12" t="str">
        <x:v>A</x:v>
      </x:c>
      <x:c r="J6" s="12" t="str">
        <x:v>B</x:v>
      </x:c>
      <x:c r="K6" s="12" t="str">
        <x:v>C</x:v>
      </x:c>
      <x:c r="L6" s="12" t="str">
        <x:v>D</x:v>
      </x:c>
      <x:c r="M6" s="12" t="str">
        <x:v>D</x:v>
      </x:c>
      <x:c r="N6" s="12" t="str">
        <x:v>C</x:v>
      </x:c>
      <x:c r="O6" s="12" t="str">
        <x:v>B</x:v>
      </x:c>
      <x:c r="P6" s="12" t="str">
        <x:v>D</x:v>
      </x:c>
      <x:c r="Q6" s="12" t="str">
        <x:v>C</x:v>
      </x:c>
      <x:c r="R6" s="12" t="str">
        <x:v>D</x:v>
      </x:c>
      <x:c r="S6" s="12" t="str">
        <x:v>C</x:v>
      </x:c>
      <x:c r="T6" s="12" t="str">
        <x:v>C</x:v>
      </x:c>
      <x:c r="U6" s="12" t="str">
        <x:v>A</x:v>
      </x:c>
      <x:c r="V6" s="12" t="str">
        <x:v>C</x:v>
      </x:c>
      <x:c r="W6" s="12" t="str">
        <x:v>B</x:v>
      </x:c>
      <x:c r="X6" s="12" t="str">
        <x:v>C</x:v>
      </x:c>
      <x:c r="Y6" s="12" t="str">
        <x:v>B</x:v>
      </x:c>
      <x:c r="Z6" s="12" t="str">
        <x:v>D</x:v>
      </x:c>
      <x:c r="AA6" s="12" t="str">
        <x:v>A</x:v>
      </x:c>
      <x:c r="AB6" s="12" t="str">
        <x:v>C</x:v>
      </x:c>
      <x:c r="AC6" s="12" t="str">
        <x:v>A</x:v>
      </x:c>
      <x:c r="AD6" s="12" t="str">
        <x:v>B</x:v>
      </x:c>
      <x:c r="AE6" s="12" t="str">
        <x:v>C</x:v>
      </x:c>
      <x:c r="AF6" s="12" t="str">
        <x:v>A</x:v>
      </x:c>
      <x:c r="AG6" s="12" t="str">
        <x:v>B</x:v>
      </x:c>
    </x:row>
    <x:row r="7">
      <x:c r="A7" s="75" t="str">
        <x:v>22.05.2026 19:03:50</x:v>
      </x:c>
      <x:c r="B7" s="12" t="str">
        <x:v>Павел</x:v>
      </x:c>
      <x:c r="C7" s="16" t="n">
        <x:v>13</x:v>
      </x:c>
      <x:c r="D7" s="12" t="str">
        <x:v>klip_off</x:v>
      </x:c>
      <x:c r="E7" s="12" t="str">
        <x:v>@klip_off6</x:v>
      </x:c>
      <x:c r="F7" s="16" t="n">
        <x:f>SUMPRODUCT(--(I7:AG7='Ключ'!$B$3:$Z$3))*4</x:f>
        <x:v>64</x:v>
      </x:c>
      <x:c r="G7" s="16" t="n">
        <x:v>100</x:v>
      </x:c>
      <x:c r="H7" s="20" t="str">
        <x:v>Синтетика</x:v>
      </x:c>
      <x:c r="I7" s="12" t="str">
        <x:v>B</x:v>
      </x:c>
      <x:c r="J7" s="12" t="str">
        <x:v>A</x:v>
      </x:c>
      <x:c r="K7" s="12" t="str">
        <x:v>C</x:v>
      </x:c>
      <x:c r="L7" s="12" t="str">
        <x:v>D</x:v>
      </x:c>
      <x:c r="M7" s="12" t="str">
        <x:v>B</x:v>
      </x:c>
      <x:c r="N7" s="12" t="str">
        <x:v>D</x:v>
      </x:c>
      <x:c r="O7" s="12" t="str">
        <x:v>B</x:v>
      </x:c>
      <x:c r="P7" s="12" t="str">
        <x:v>D</x:v>
      </x:c>
      <x:c r="Q7" s="12" t="str">
        <x:v>D</x:v>
      </x:c>
      <x:c r="R7" s="12" t="str">
        <x:v>A</x:v>
      </x:c>
      <x:c r="S7" s="12" t="str">
        <x:v>C</x:v>
      </x:c>
      <x:c r="T7" s="12" t="str">
        <x:v>D</x:v>
      </x:c>
      <x:c r="U7" s="12" t="str">
        <x:v>C</x:v>
      </x:c>
      <x:c r="V7" s="12" t="str">
        <x:v>C</x:v>
      </x:c>
      <x:c r="W7" s="12" t="str">
        <x:v>C</x:v>
      </x:c>
      <x:c r="X7" s="12" t="str">
        <x:v>A</x:v>
      </x:c>
      <x:c r="Y7" s="12" t="str">
        <x:v>C</x:v>
      </x:c>
      <x:c r="Z7" s="12" t="str">
        <x:v>B</x:v>
      </x:c>
      <x:c r="AA7" s="12" t="str">
        <x:v>D</x:v>
      </x:c>
      <x:c r="AB7" s="12" t="str">
        <x:v>B</x:v>
      </x:c>
      <x:c r="AC7" s="12" t="str">
        <x:v>C</x:v>
      </x:c>
      <x:c r="AD7" s="12" t="str">
        <x:v>B</x:v>
      </x:c>
      <x:c r="AE7" s="12" t="str">
        <x:v>C</x:v>
      </x:c>
      <x:c r="AF7" s="12" t="str">
        <x:v>D</x:v>
      </x:c>
      <x:c r="AG7" s="12" t="str">
        <x:v>B</x:v>
      </x:c>
    </x:row>
    <x:row r="8">
      <x:c r="A8" s="75" t="str">
        <x:v>22.05.2026 19:33:11</x:v>
      </x:c>
      <x:c r="B8" s="12" t="str">
        <x:v>Новиков Даниил Дмитриевич</x:v>
      </x:c>
      <x:c r="C8" s="16" t="n">
        <x:v>15</x:v>
      </x:c>
      <x:c r="D8" s="12" t="str">
        <x:v>verzzi_su</x:v>
      </x:c>
      <x:c r="E8" s="12" t="str">
        <x:v>@verzzi_su27</x:v>
      </x:c>
      <x:c r="F8" s="16" t="n">
        <x:f>SUMPRODUCT(--(I8:AG8='Ключ'!$B$3:$Z$3))*4</x:f>
        <x:v>76</x:v>
      </x:c>
      <x:c r="G8" s="16" t="n">
        <x:v>100</x:v>
      </x:c>
      <x:c r="H8" s="20" t="str">
        <x:v>Синтетика</x:v>
      </x:c>
      <x:c r="I8" s="12" t="str">
        <x:v>B</x:v>
      </x:c>
      <x:c r="J8" s="12" t="str">
        <x:v>D</x:v>
      </x:c>
      <x:c r="K8" s="12" t="str">
        <x:v>B</x:v>
      </x:c>
      <x:c r="L8" s="12" t="str">
        <x:v>C</x:v>
      </x:c>
      <x:c r="M8" s="12" t="str">
        <x:v>D</x:v>
      </x:c>
      <x:c r="N8" s="12" t="str">
        <x:v>B</x:v>
      </x:c>
      <x:c r="O8" s="12" t="str">
        <x:v>D</x:v>
      </x:c>
      <x:c r="P8" s="12" t="str">
        <x:v>C</x:v>
      </x:c>
      <x:c r="Q8" s="12" t="str">
        <x:v>A</x:v>
      </x:c>
      <x:c r="R8" s="12" t="str">
        <x:v>A</x:v>
      </x:c>
      <x:c r="S8" s="12" t="str">
        <x:v>D</x:v>
      </x:c>
      <x:c r="T8" s="12" t="str">
        <x:v>D</x:v>
      </x:c>
      <x:c r="U8" s="12" t="str">
        <x:v>A</x:v>
      </x:c>
      <x:c r="V8" s="12" t="str">
        <x:v>C</x:v>
      </x:c>
      <x:c r="W8" s="12" t="str">
        <x:v>B</x:v>
      </x:c>
      <x:c r="X8" s="12" t="str">
        <x:v>A</x:v>
      </x:c>
      <x:c r="Y8" s="12" t="str">
        <x:v>C</x:v>
      </x:c>
      <x:c r="Z8" s="12" t="str">
        <x:v>B</x:v>
      </x:c>
      <x:c r="AA8" s="12" t="str">
        <x:v>A</x:v>
      </x:c>
      <x:c r="AB8" s="12" t="str">
        <x:v>C</x:v>
      </x:c>
      <x:c r="AC8" s="12" t="str">
        <x:v>A</x:v>
      </x:c>
      <x:c r="AD8" s="12" t="str">
        <x:v>B</x:v>
      </x:c>
      <x:c r="AE8" s="12" t="str">
        <x:v>C</x:v>
      </x:c>
      <x:c r="AF8" s="12" t="str">
        <x:v>D</x:v>
      </x:c>
      <x:c r="AG8" s="12" t="str">
        <x:v>B</x:v>
      </x:c>
    </x:row>
    <x:row r="9">
      <x:c r="A9" s="75" t="str">
        <x:v>22.05.2026 20:02:45</x:v>
      </x:c>
      <x:c r="B9" s="12" t="str">
        <x:v>алексей</x:v>
      </x:c>
      <x:c r="C9" s="16" t="n">
        <x:v>16</x:v>
      </x:c>
      <x:c r="D9" s="12" t="str">
        <x:v>West44</x:v>
      </x:c>
      <x:c r="E9" s="12" t="str">
        <x:v>@west448</x:v>
      </x:c>
      <x:c r="F9" s="16" t="n">
        <x:f>SUMPRODUCT(--(I9:AG9='Ключ'!$B$3:$Z$3))*4</x:f>
        <x:v>80</x:v>
      </x:c>
      <x:c r="G9" s="16" t="n">
        <x:v>100</x:v>
      </x:c>
      <x:c r="H9" s="20" t="str">
        <x:v>Синтетика</x:v>
      </x:c>
      <x:c r="I9" s="12" t="str">
        <x:v>C</x:v>
      </x:c>
      <x:c r="J9" s="12" t="str">
        <x:v>A</x:v>
      </x:c>
      <x:c r="K9" s="12" t="str">
        <x:v>C</x:v>
      </x:c>
      <x:c r="L9" s="12" t="str">
        <x:v>D</x:v>
      </x:c>
      <x:c r="M9" s="12" t="str">
        <x:v>D</x:v>
      </x:c>
      <x:c r="N9" s="12" t="str">
        <x:v>D</x:v>
      </x:c>
      <x:c r="O9" s="12" t="str">
        <x:v>D</x:v>
      </x:c>
      <x:c r="P9" s="12" t="str">
        <x:v>D</x:v>
      </x:c>
      <x:c r="Q9" s="12" t="str">
        <x:v>C</x:v>
      </x:c>
      <x:c r="R9" s="12" t="str">
        <x:v>A</x:v>
      </x:c>
      <x:c r="S9" s="12" t="str">
        <x:v>D</x:v>
      </x:c>
      <x:c r="T9" s="12" t="str">
        <x:v>D</x:v>
      </x:c>
      <x:c r="U9" s="12" t="str">
        <x:v>D</x:v>
      </x:c>
      <x:c r="V9" s="12" t="str">
        <x:v>C</x:v>
      </x:c>
      <x:c r="W9" s="12" t="str">
        <x:v>B</x:v>
      </x:c>
      <x:c r="X9" s="12" t="str">
        <x:v>D</x:v>
      </x:c>
      <x:c r="Y9" s="12" t="str">
        <x:v>C</x:v>
      </x:c>
      <x:c r="Z9" s="12" t="str">
        <x:v>B</x:v>
      </x:c>
      <x:c r="AA9" s="12" t="str">
        <x:v>A</x:v>
      </x:c>
      <x:c r="AB9" s="12" t="str">
        <x:v>C</x:v>
      </x:c>
      <x:c r="AC9" s="12" t="str">
        <x:v>A</x:v>
      </x:c>
      <x:c r="AD9" s="12" t="str">
        <x:v>D</x:v>
      </x:c>
      <x:c r="AE9" s="12" t="str">
        <x:v>A</x:v>
      </x:c>
      <x:c r="AF9" s="12" t="str">
        <x:v>D</x:v>
      </x:c>
      <x:c r="AG9" s="12" t="str">
        <x:v>B</x:v>
      </x:c>
    </x:row>
    <x:row r="10">
      <x:c r="A10" s="75" t="str">
        <x:v>22.05.2026 20:14:14</x:v>
      </x:c>
      <x:c r="B10" s="12" t="str">
        <x:v>Воронцов Алексей</x:v>
      </x:c>
      <x:c r="C10" s="16" t="n">
        <x:v>15</x:v>
      </x:c>
      <x:c r="D10" s="12" t="str">
        <x:v>Rizik</x:v>
      </x:c>
      <x:c r="E10" s="12" t="str">
        <x:v>@rizik_su</x:v>
      </x:c>
      <x:c r="F10" s="16" t="n">
        <x:f>SUMPRODUCT(--(I10:AG10='Ключ'!$B$3:$Z$3))*4</x:f>
        <x:v>60</x:v>
      </x:c>
      <x:c r="G10" s="16" t="n">
        <x:v>100</x:v>
      </x:c>
      <x:c r="H10" s="20" t="str">
        <x:v>Синтетика</x:v>
      </x:c>
      <x:c r="I10" s="12" t="str">
        <x:v>B</x:v>
      </x:c>
      <x:c r="J10" s="12" t="str">
        <x:v>A</x:v>
      </x:c>
      <x:c r="K10" s="12" t="str">
        <x:v>B</x:v>
      </x:c>
      <x:c r="L10" s="12" t="str">
        <x:v>D</x:v>
      </x:c>
      <x:c r="M10" s="12" t="str">
        <x:v>B</x:v>
      </x:c>
      <x:c r="N10" s="12" t="str">
        <x:v>C</x:v>
      </x:c>
      <x:c r="O10" s="12" t="str">
        <x:v>D</x:v>
      </x:c>
      <x:c r="P10" s="12" t="str">
        <x:v>A</x:v>
      </x:c>
      <x:c r="Q10" s="12" t="str">
        <x:v>C</x:v>
      </x:c>
      <x:c r="R10" s="12" t="str">
        <x:v>A</x:v>
      </x:c>
      <x:c r="S10" s="12" t="str">
        <x:v>A</x:v>
      </x:c>
      <x:c r="T10" s="12" t="str">
        <x:v>A</x:v>
      </x:c>
      <x:c r="U10" s="12" t="str">
        <x:v>A</x:v>
      </x:c>
      <x:c r="V10" s="12" t="str">
        <x:v>C</x:v>
      </x:c>
      <x:c r="W10" s="12" t="str">
        <x:v>B</x:v>
      </x:c>
      <x:c r="X10" s="12" t="str">
        <x:v>A</x:v>
      </x:c>
      <x:c r="Y10" s="12" t="str">
        <x:v>C</x:v>
      </x:c>
      <x:c r="Z10" s="12" t="str">
        <x:v>C</x:v>
      </x:c>
      <x:c r="AA10" s="12" t="str">
        <x:v>A</x:v>
      </x:c>
      <x:c r="AB10" s="12" t="str">
        <x:v>D</x:v>
      </x:c>
      <x:c r="AC10" s="12" t="str">
        <x:v>A</x:v>
      </x:c>
      <x:c r="AD10" s="12" t="str">
        <x:v>B</x:v>
      </x:c>
      <x:c r="AE10" s="12" t="str">
        <x:v>C</x:v>
      </x:c>
      <x:c r="AF10" s="12" t="str">
        <x:v>B</x:v>
      </x:c>
      <x:c r="AG10" s="12" t="str">
        <x:v>A</x:v>
      </x:c>
    </x:row>
    <x:row r="11">
      <x:c r="A11" s="75" t="str">
        <x:v>22.05.2026 20:46:12</x:v>
      </x:c>
      <x:c r="B11" s="12" t="str">
        <x:v>Быков Роман</x:v>
      </x:c>
      <x:c r="C11" s="16" t="n">
        <x:v>15</x:v>
      </x:c>
      <x:c r="D11" s="12" t="str">
        <x:v>QT | Lili</x:v>
      </x:c>
      <x:c r="E11" s="12" t="str">
        <x:v>@qtlili</x:v>
      </x:c>
      <x:c r="F11" s="16" t="n">
        <x:f>SUMPRODUCT(--(I11:AG11='Ключ'!$B$3:$Z$3))*4</x:f>
        <x:v>40</x:v>
      </x:c>
      <x:c r="G11" s="16" t="n">
        <x:v>100</x:v>
      </x:c>
      <x:c r="H11" s="20" t="str">
        <x:v>Синтетика</x:v>
      </x:c>
      <x:c r="I11" s="12" t="str">
        <x:v>D</x:v>
      </x:c>
      <x:c r="J11" s="12" t="str">
        <x:v>C</x:v>
      </x:c>
      <x:c r="K11" s="12" t="str">
        <x:v>C</x:v>
      </x:c>
      <x:c r="L11" s="12" t="str">
        <x:v>B</x:v>
      </x:c>
      <x:c r="M11" s="12" t="str">
        <x:v>A</x:v>
      </x:c>
      <x:c r="N11" s="12" t="str">
        <x:v>B</x:v>
      </x:c>
      <x:c r="O11" s="12" t="str">
        <x:v>D</x:v>
      </x:c>
      <x:c r="P11" s="12" t="str">
        <x:v>C</x:v>
      </x:c>
      <x:c r="Q11" s="12" t="str">
        <x:v>B</x:v>
      </x:c>
      <x:c r="R11" s="12" t="str">
        <x:v>D</x:v>
      </x:c>
      <x:c r="S11" s="12" t="str">
        <x:v>D</x:v>
      </x:c>
      <x:c r="T11" s="12" t="str">
        <x:v>D</x:v>
      </x:c>
      <x:c r="U11" s="12" t="str">
        <x:v>D</x:v>
      </x:c>
      <x:c r="V11" s="12" t="str">
        <x:v>C</x:v>
      </x:c>
      <x:c r="W11" s="12" t="str">
        <x:v>C</x:v>
      </x:c>
      <x:c r="X11" s="12" t="str">
        <x:v>A</x:v>
      </x:c>
      <x:c r="Y11" s="12" t="str">
        <x:v>C</x:v>
      </x:c>
      <x:c r="Z11" s="12" t="str">
        <x:v>B</x:v>
      </x:c>
      <x:c r="AA11" s="12" t="str">
        <x:v>C</x:v>
      </x:c>
      <x:c r="AB11" s="12" t="str">
        <x:v>C</x:v>
      </x:c>
      <x:c r="AC11" s="12" t="str">
        <x:v>A</x:v>
      </x:c>
      <x:c r="AD11" s="12" t="str">
        <x:v>C</x:v>
      </x:c>
      <x:c r="AE11" s="12" t="str">
        <x:v>B</x:v>
      </x:c>
      <x:c r="AF11" s="12" t="str">
        <x:v>B</x:v>
      </x:c>
      <x:c r="AG11" s="12" t="str">
        <x:v>D</x:v>
      </x:c>
    </x:row>
    <x:row r="12">
      <x:c r="A12" s="75" t="str">
        <x:v>23.05.2026 00:42:02</x:v>
      </x:c>
      <x:c r="B12" s="12" t="str">
        <x:v>Тимур</x:v>
      </x:c>
      <x:c r="C12" s="16" t="n">
        <x:v>16</x:v>
      </x:c>
      <x:c r="D12" s="12" t="str">
        <x:v>Silent15</x:v>
      </x:c>
      <x:c r="E12" s="12" t="str">
        <x:v>@silent15</x:v>
      </x:c>
      <x:c r="F12" s="16" t="n">
        <x:f>SUMPRODUCT(--(I12:AG12='Ключ'!$B$3:$Z$3))*4</x:f>
        <x:v>80</x:v>
      </x:c>
      <x:c r="G12" s="16" t="n">
        <x:v>100</x:v>
      </x:c>
      <x:c r="H12" s="20" t="str">
        <x:v>Синтетика</x:v>
      </x:c>
      <x:c r="I12" s="12" t="str">
        <x:v>B</x:v>
      </x:c>
      <x:c r="J12" s="12" t="str">
        <x:v>A</x:v>
      </x:c>
      <x:c r="K12" s="12" t="str">
        <x:v>C</x:v>
      </x:c>
      <x:c r="L12" s="12" t="str">
        <x:v>D</x:v>
      </x:c>
      <x:c r="M12" s="12" t="str">
        <x:v>A</x:v>
      </x:c>
      <x:c r="N12" s="12" t="str">
        <x:v>D</x:v>
      </x:c>
      <x:c r="O12" s="12" t="str">
        <x:v>B</x:v>
      </x:c>
      <x:c r="P12" s="12" t="str">
        <x:v>D</x:v>
      </x:c>
      <x:c r="Q12" s="12" t="str">
        <x:v>C</x:v>
      </x:c>
      <x:c r="R12" s="12" t="str">
        <x:v>A</x:v>
      </x:c>
      <x:c r="S12" s="12" t="str">
        <x:v>D</x:v>
      </x:c>
      <x:c r="T12" s="12" t="str">
        <x:v>D</x:v>
      </x:c>
      <x:c r="U12" s="12" t="str">
        <x:v>A</x:v>
      </x:c>
      <x:c r="V12" s="12" t="str">
        <x:v>C</x:v>
      </x:c>
      <x:c r="W12" s="12" t="str">
        <x:v>B</x:v>
      </x:c>
      <x:c r="X12" s="12" t="str">
        <x:v>D</x:v>
      </x:c>
      <x:c r="Y12" s="12" t="str">
        <x:v>C</x:v>
      </x:c>
      <x:c r="Z12" s="12" t="str">
        <x:v>B</x:v>
      </x:c>
      <x:c r="AA12" s="12" t="str">
        <x:v>A</x:v>
      </x:c>
      <x:c r="AB12" s="12" t="str">
        <x:v>B</x:v>
      </x:c>
      <x:c r="AC12" s="12" t="str">
        <x:v>A</x:v>
      </x:c>
      <x:c r="AD12" s="12" t="str">
        <x:v>B</x:v>
      </x:c>
      <x:c r="AE12" s="12" t="str">
        <x:v>C</x:v>
      </x:c>
      <x:c r="AF12" s="12" t="str">
        <x:v>A</x:v>
      </x:c>
      <x:c r="AG12" s="12" t="str">
        <x:v>B</x:v>
      </x:c>
    </x:row>
    <x:row r="13">
      <x:c r="A13" s="75" t="str">
        <x:v>23.05.2026 00:45:32</x:v>
      </x:c>
      <x:c r="B13" s="12" t="str">
        <x:v>Агафонов Руслан</x:v>
      </x:c>
      <x:c r="C13" s="16" t="n">
        <x:v>18</x:v>
      </x:c>
      <x:c r="D13" s="12" t="str">
        <x:v>x_Aruva</x:v>
      </x:c>
      <x:c r="E13" s="12" t="str">
        <x:v>@x_aruva87</x:v>
      </x:c>
      <x:c r="F13" s="16" t="n">
        <x:f>SUMPRODUCT(--(I13:AG13='Ключ'!$B$3:$Z$3))*4</x:f>
        <x:v>68</x:v>
      </x:c>
      <x:c r="G13" s="16" t="n">
        <x:v>100</x:v>
      </x:c>
      <x:c r="H13" s="20" t="str">
        <x:v>Синтетика</x:v>
      </x:c>
      <x:c r="I13" s="12" t="str">
        <x:v>D</x:v>
      </x:c>
      <x:c r="J13" s="12" t="str">
        <x:v>A</x:v>
      </x:c>
      <x:c r="K13" s="12" t="str">
        <x:v>B</x:v>
      </x:c>
      <x:c r="L13" s="12" t="str">
        <x:v>D</x:v>
      </x:c>
      <x:c r="M13" s="12" t="str">
        <x:v>C</x:v>
      </x:c>
      <x:c r="N13" s="12" t="str">
        <x:v>D</x:v>
      </x:c>
      <x:c r="O13" s="12" t="str">
        <x:v>C</x:v>
      </x:c>
      <x:c r="P13" s="12" t="str">
        <x:v>D</x:v>
      </x:c>
      <x:c r="Q13" s="12" t="str">
        <x:v>B</x:v>
      </x:c>
      <x:c r="R13" s="12" t="str">
        <x:v>A</x:v>
      </x:c>
      <x:c r="S13" s="12" t="str">
        <x:v>D</x:v>
      </x:c>
      <x:c r="T13" s="12" t="str">
        <x:v>A</x:v>
      </x:c>
      <x:c r="U13" s="12" t="str">
        <x:v>C</x:v>
      </x:c>
      <x:c r="V13" s="12" t="str">
        <x:v>C</x:v>
      </x:c>
      <x:c r="W13" s="12" t="str">
        <x:v>B</x:v>
      </x:c>
      <x:c r="X13" s="12" t="str">
        <x:v>A</x:v>
      </x:c>
      <x:c r="Y13" s="12" t="str">
        <x:v>C</x:v>
      </x:c>
      <x:c r="Z13" s="12" t="str">
        <x:v>B</x:v>
      </x:c>
      <x:c r="AA13" s="12" t="str">
        <x:v>A</x:v>
      </x:c>
      <x:c r="AB13" s="12" t="str">
        <x:v>C</x:v>
      </x:c>
      <x:c r="AC13" s="12" t="str">
        <x:v>A</x:v>
      </x:c>
      <x:c r="AD13" s="12" t="str">
        <x:v>B</x:v>
      </x:c>
      <x:c r="AE13" s="12" t="str">
        <x:v>B</x:v>
      </x:c>
      <x:c r="AF13" s="12" t="str">
        <x:v>D</x:v>
      </x:c>
      <x:c r="AG13" s="12" t="str">
        <x:v>B</x:v>
      </x:c>
    </x:row>
    <x:row r="14">
      <x:c r="A14" s="75" t="str">
        <x:v>23.05.2026 02:10:04</x:v>
      </x:c>
      <x:c r="B14" s="12" t="str">
        <x:v>Власов Никита Матвеевич</x:v>
      </x:c>
      <x:c r="C14" s="16" t="n">
        <x:v>15</x:v>
      </x:c>
      <x:c r="D14" s="12" t="str">
        <x:v>Tuman44</x:v>
      </x:c>
      <x:c r="E14" s="12" t="str">
        <x:v>@tuman4413</x:v>
      </x:c>
      <x:c r="F14" s="16" t="n">
        <x:f>SUMPRODUCT(--(I14:AG14='Ключ'!$B$3:$Z$3))*4</x:f>
        <x:v>60</x:v>
      </x:c>
      <x:c r="G14" s="16" t="n">
        <x:v>100</x:v>
      </x:c>
      <x:c r="H14" s="20" t="str">
        <x:v>Синтетика</x:v>
      </x:c>
      <x:c r="I14" s="12" t="str">
        <x:v>B</x:v>
      </x:c>
      <x:c r="J14" s="12" t="str">
        <x:v>A</x:v>
      </x:c>
      <x:c r="K14" s="12" t="str">
        <x:v>A</x:v>
      </x:c>
      <x:c r="L14" s="12" t="str">
        <x:v>D</x:v>
      </x:c>
      <x:c r="M14" s="12" t="str">
        <x:v>A</x:v>
      </x:c>
      <x:c r="N14" s="12" t="str">
        <x:v>B</x:v>
      </x:c>
      <x:c r="O14" s="12" t="str">
        <x:v>D</x:v>
      </x:c>
      <x:c r="P14" s="12" t="str">
        <x:v>D</x:v>
      </x:c>
      <x:c r="Q14" s="12" t="str">
        <x:v>C</x:v>
      </x:c>
      <x:c r="R14" s="12" t="str">
        <x:v>D</x:v>
      </x:c>
      <x:c r="S14" s="12" t="str">
        <x:v>A</x:v>
      </x:c>
      <x:c r="T14" s="12" t="str">
        <x:v>A</x:v>
      </x:c>
      <x:c r="U14" s="12" t="str">
        <x:v>A</x:v>
      </x:c>
      <x:c r="V14" s="12" t="str">
        <x:v>C</x:v>
      </x:c>
      <x:c r="W14" s="12" t="str">
        <x:v>A</x:v>
      </x:c>
      <x:c r="X14" s="12" t="str">
        <x:v>B</x:v>
      </x:c>
      <x:c r="Y14" s="12" t="str">
        <x:v>C</x:v>
      </x:c>
      <x:c r="Z14" s="12" t="str">
        <x:v>A</x:v>
      </x:c>
      <x:c r="AA14" s="12" t="str">
        <x:v>A</x:v>
      </x:c>
      <x:c r="AB14" s="12" t="str">
        <x:v>C</x:v>
      </x:c>
      <x:c r="AC14" s="12" t="str">
        <x:v>A</x:v>
      </x:c>
      <x:c r="AD14" s="12" t="str">
        <x:v>B</x:v>
      </x:c>
      <x:c r="AE14" s="12" t="str">
        <x:v>C</x:v>
      </x:c>
      <x:c r="AF14" s="12" t="str">
        <x:v>D</x:v>
      </x:c>
      <x:c r="AG14" s="12" t="str">
        <x:v>D</x:v>
      </x:c>
    </x:row>
    <x:row r="15">
      <x:c r="A15" s="75" t="str">
        <x:v>23.05.2026 02:14:59</x:v>
      </x:c>
      <x:c r="B15" s="12" t="str">
        <x:v>Власов Марат</x:v>
      </x:c>
      <x:c r="C15" s="16" t="n">
        <x:v>17</x:v>
      </x:c>
      <x:c r="D15" s="12" t="str">
        <x:v>lucky_rw</x:v>
      </x:c>
      <x:c r="E15" s="12" t="str">
        <x:v>@lucky_rw14</x:v>
      </x:c>
      <x:c r="F15" s="16" t="n">
        <x:f>SUMPRODUCT(--(I15:AG15='Ключ'!$B$3:$Z$3))*4</x:f>
        <x:v>80</x:v>
      </x:c>
      <x:c r="G15" s="16" t="n">
        <x:v>100</x:v>
      </x:c>
      <x:c r="H15" s="20" t="str">
        <x:v>Синтетика</x:v>
      </x:c>
      <x:c r="I15" s="12" t="str">
        <x:v>B</x:v>
      </x:c>
      <x:c r="J15" s="12" t="str">
        <x:v>A</x:v>
      </x:c>
      <x:c r="K15" s="12" t="str">
        <x:v>A</x:v>
      </x:c>
      <x:c r="L15" s="12" t="str">
        <x:v>D</x:v>
      </x:c>
      <x:c r="M15" s="12" t="str">
        <x:v>D</x:v>
      </x:c>
      <x:c r="N15" s="12" t="str">
        <x:v>D</x:v>
      </x:c>
      <x:c r="O15" s="12" t="str">
        <x:v>D</x:v>
      </x:c>
      <x:c r="P15" s="12" t="str">
        <x:v>D</x:v>
      </x:c>
      <x:c r="Q15" s="12" t="str">
        <x:v>C</x:v>
      </x:c>
      <x:c r="R15" s="12" t="str">
        <x:v>A</x:v>
      </x:c>
      <x:c r="S15" s="12" t="str">
        <x:v>C</x:v>
      </x:c>
      <x:c r="T15" s="12" t="str">
        <x:v>D</x:v>
      </x:c>
      <x:c r="U15" s="12" t="str">
        <x:v>A</x:v>
      </x:c>
      <x:c r="V15" s="12" t="str">
        <x:v>C</x:v>
      </x:c>
      <x:c r="W15" s="12" t="str">
        <x:v>B</x:v>
      </x:c>
      <x:c r="X15" s="12" t="str">
        <x:v>A</x:v>
      </x:c>
      <x:c r="Y15" s="12" t="str">
        <x:v>C</x:v>
      </x:c>
      <x:c r="Z15" s="12" t="str">
        <x:v>B</x:v>
      </x:c>
      <x:c r="AA15" s="12" t="str">
        <x:v>A</x:v>
      </x:c>
      <x:c r="AB15" s="12" t="str">
        <x:v>B</x:v>
      </x:c>
      <x:c r="AC15" s="12" t="str">
        <x:v>B</x:v>
      </x:c>
      <x:c r="AD15" s="12" t="str">
        <x:v>B</x:v>
      </x:c>
      <x:c r="AE15" s="12" t="str">
        <x:v>C</x:v>
      </x:c>
      <x:c r="AF15" s="12" t="str">
        <x:v>B</x:v>
      </x:c>
      <x:c r="AG15" s="12" t="str">
        <x:v>B</x:v>
      </x:c>
    </x:row>
    <x:row r="16">
      <x:c r="A16" s="75" t="str">
        <x:v>23.05.2026 02:25:26</x:v>
      </x:c>
      <x:c r="B16" s="12" t="str">
        <x:v>семен</x:v>
      </x:c>
      <x:c r="C16" s="16" t="n">
        <x:v>17</x:v>
      </x:c>
      <x:c r="D16" s="12" t="str">
        <x:v>Vortex</x:v>
      </x:c>
      <x:c r="E16" s="12" t="str">
        <x:v>@vortex17</x:v>
      </x:c>
      <x:c r="F16" s="16" t="n">
        <x:f>SUMPRODUCT(--(I16:AG16='Ключ'!$B$3:$Z$3))*4</x:f>
        <x:v>76</x:v>
      </x:c>
      <x:c r="G16" s="16" t="n">
        <x:v>100</x:v>
      </x:c>
      <x:c r="H16" s="20" t="str">
        <x:v>Синтетика</x:v>
      </x:c>
      <x:c r="I16" s="12" t="str">
        <x:v>B</x:v>
      </x:c>
      <x:c r="J16" s="12" t="str">
        <x:v>A</x:v>
      </x:c>
      <x:c r="K16" s="12" t="str">
        <x:v>C</x:v>
      </x:c>
      <x:c r="L16" s="12" t="str">
        <x:v>A</x:v>
      </x:c>
      <x:c r="M16" s="12" t="str">
        <x:v>D</x:v>
      </x:c>
      <x:c r="N16" s="12" t="str">
        <x:v>D</x:v>
      </x:c>
      <x:c r="O16" s="12" t="str">
        <x:v>B</x:v>
      </x:c>
      <x:c r="P16" s="12" t="str">
        <x:v>D</x:v>
      </x:c>
      <x:c r="Q16" s="12" t="str">
        <x:v>C</x:v>
      </x:c>
      <x:c r="R16" s="12" t="str">
        <x:v>A</x:v>
      </x:c>
      <x:c r="S16" s="12" t="str">
        <x:v>D</x:v>
      </x:c>
      <x:c r="T16" s="12" t="str">
        <x:v>A</x:v>
      </x:c>
      <x:c r="U16" s="12" t="str">
        <x:v>D</x:v>
      </x:c>
      <x:c r="V16" s="12" t="str">
        <x:v>C</x:v>
      </x:c>
      <x:c r="W16" s="12" t="str">
        <x:v>B</x:v>
      </x:c>
      <x:c r="X16" s="12" t="str">
        <x:v>A</x:v>
      </x:c>
      <x:c r="Y16" s="12" t="str">
        <x:v>C</x:v>
      </x:c>
      <x:c r="Z16" s="12" t="str">
        <x:v>B</x:v>
      </x:c>
      <x:c r="AA16" s="12" t="str">
        <x:v>A</x:v>
      </x:c>
      <x:c r="AB16" s="12" t="str">
        <x:v>C</x:v>
      </x:c>
      <x:c r="AC16" s="12" t="str">
        <x:v>C</x:v>
      </x:c>
      <x:c r="AD16" s="12" t="str">
        <x:v>C</x:v>
      </x:c>
      <x:c r="AE16" s="12" t="str">
        <x:v>C</x:v>
      </x:c>
      <x:c r="AF16" s="12" t="str">
        <x:v>D</x:v>
      </x:c>
      <x:c r="AG16" s="12" t="str">
        <x:v>B</x:v>
      </x:c>
    </x:row>
    <x:row r="17">
      <x:c r="A17" s="75" t="str">
        <x:v>23.05.2026 03:20:01</x:v>
      </x:c>
      <x:c r="B17" s="12" t="str">
        <x:v>Глеб</x:v>
      </x:c>
      <x:c r="C17" s="16" t="n">
        <x:v>15</x:v>
      </x:c>
      <x:c r="D17" s="12" t="str">
        <x:v>BebUp5</x:v>
      </x:c>
      <x:c r="E17" s="12" t="str">
        <x:v>@bebup516</x:v>
      </x:c>
      <x:c r="F17" s="16" t="n">
        <x:f>SUMPRODUCT(--(I17:AG17='Ключ'!$B$3:$Z$3))*4</x:f>
        <x:v>76</x:v>
      </x:c>
      <x:c r="G17" s="16" t="n">
        <x:v>100</x:v>
      </x:c>
      <x:c r="H17" s="20" t="str">
        <x:v>Синтетика</x:v>
      </x:c>
      <x:c r="I17" s="12" t="str">
        <x:v>C</x:v>
      </x:c>
      <x:c r="J17" s="12" t="str">
        <x:v>C</x:v>
      </x:c>
      <x:c r="K17" s="12" t="str">
        <x:v>C</x:v>
      </x:c>
      <x:c r="L17" s="12" t="str">
        <x:v>D</x:v>
      </x:c>
      <x:c r="M17" s="12" t="str">
        <x:v>D</x:v>
      </x:c>
      <x:c r="N17" s="12" t="str">
        <x:v>A</x:v>
      </x:c>
      <x:c r="O17" s="12" t="str">
        <x:v>D</x:v>
      </x:c>
      <x:c r="P17" s="12" t="str">
        <x:v>D</x:v>
      </x:c>
      <x:c r="Q17" s="12" t="str">
        <x:v>C</x:v>
      </x:c>
      <x:c r="R17" s="12" t="str">
        <x:v>A</x:v>
      </x:c>
      <x:c r="S17" s="12" t="str">
        <x:v>D</x:v>
      </x:c>
      <x:c r="T17" s="12" t="str">
        <x:v>B</x:v>
      </x:c>
      <x:c r="U17" s="12" t="str">
        <x:v>A</x:v>
      </x:c>
      <x:c r="V17" s="12" t="str">
        <x:v>C</x:v>
      </x:c>
      <x:c r="W17" s="12" t="str">
        <x:v>B</x:v>
      </x:c>
      <x:c r="X17" s="12" t="str">
        <x:v>A</x:v>
      </x:c>
      <x:c r="Y17" s="12" t="str">
        <x:v>D</x:v>
      </x:c>
      <x:c r="Z17" s="12" t="str">
        <x:v>B</x:v>
      </x:c>
      <x:c r="AA17" s="12" t="str">
        <x:v>B</x:v>
      </x:c>
      <x:c r="AB17" s="12" t="str">
        <x:v>C</x:v>
      </x:c>
      <x:c r="AC17" s="12" t="str">
        <x:v>A</x:v>
      </x:c>
      <x:c r="AD17" s="12" t="str">
        <x:v>B</x:v>
      </x:c>
      <x:c r="AE17" s="12" t="str">
        <x:v>C</x:v>
      </x:c>
      <x:c r="AF17" s="12" t="str">
        <x:v>D</x:v>
      </x:c>
      <x:c r="AG17" s="12" t="str">
        <x:v>B</x:v>
      </x:c>
    </x:row>
    <x:row r="18">
      <x:c r="A18" s="75" t="str">
        <x:v>23.05.2026 04:10:06</x:v>
      </x:c>
      <x:c r="B18" s="12" t="str">
        <x:v>Зайцев Михаил</x:v>
      </x:c>
      <x:c r="C18" s="16" t="n">
        <x:v>14</x:v>
      </x:c>
      <x:c r="D18" s="12" t="str">
        <x:v>Lairuss80</x:v>
      </x:c>
      <x:c r="E18" s="12" t="str">
        <x:v>@lairuss80_rw</x:v>
      </x:c>
      <x:c r="F18" s="16" t="n">
        <x:f>SUMPRODUCT(--(I18:AG18='Ключ'!$B$3:$Z$3))*4</x:f>
        <x:v>56</x:v>
      </x:c>
      <x:c r="G18" s="16" t="n">
        <x:v>100</x:v>
      </x:c>
      <x:c r="H18" s="20" t="str">
        <x:v>Синтетика</x:v>
      </x:c>
      <x:c r="I18" s="12" t="str">
        <x:v>B</x:v>
      </x:c>
      <x:c r="J18" s="12" t="str">
        <x:v>D</x:v>
      </x:c>
      <x:c r="K18" s="12" t="str">
        <x:v>C</x:v>
      </x:c>
      <x:c r="L18" s="12" t="str">
        <x:v>D</x:v>
      </x:c>
      <x:c r="M18" s="12" t="str">
        <x:v>D</x:v>
      </x:c>
      <x:c r="N18" s="12" t="str">
        <x:v>D</x:v>
      </x:c>
      <x:c r="O18" s="12" t="str">
        <x:v>D</x:v>
      </x:c>
      <x:c r="P18" s="12" t="str">
        <x:v>A</x:v>
      </x:c>
      <x:c r="Q18" s="12" t="str">
        <x:v>B</x:v>
      </x:c>
      <x:c r="R18" s="12" t="str">
        <x:v>D</x:v>
      </x:c>
      <x:c r="S18" s="12" t="str">
        <x:v>D</x:v>
      </x:c>
      <x:c r="T18" s="12" t="str">
        <x:v>D</x:v>
      </x:c>
      <x:c r="U18" s="12" t="str">
        <x:v>B</x:v>
      </x:c>
      <x:c r="V18" s="12" t="str">
        <x:v>C</x:v>
      </x:c>
      <x:c r="W18" s="12" t="str">
        <x:v>C</x:v>
      </x:c>
      <x:c r="X18" s="12" t="str">
        <x:v>D</x:v>
      </x:c>
      <x:c r="Y18" s="12" t="str">
        <x:v>B</x:v>
      </x:c>
      <x:c r="Z18" s="12" t="str">
        <x:v>B</x:v>
      </x:c>
      <x:c r="AA18" s="12" t="str">
        <x:v>C</x:v>
      </x:c>
      <x:c r="AB18" s="12" t="str">
        <x:v>C</x:v>
      </x:c>
      <x:c r="AC18" s="12" t="str">
        <x:v>B</x:v>
      </x:c>
      <x:c r="AD18" s="12" t="str">
        <x:v>A</x:v>
      </x:c>
      <x:c r="AE18" s="12" t="str">
        <x:v>C</x:v>
      </x:c>
      <x:c r="AF18" s="12" t="str">
        <x:v>D</x:v>
      </x:c>
      <x:c r="AG18" s="12" t="str">
        <x:v>B</x:v>
      </x:c>
    </x:row>
    <x:row r="19">
      <x:c r="A19" s="75" t="str">
        <x:v>23.05.2026 04:16:41</x:v>
      </x:c>
      <x:c r="B19" s="12" t="str">
        <x:v>Агафонов Семен</x:v>
      </x:c>
      <x:c r="C19" s="16" t="n">
        <x:v>16</x:v>
      </x:c>
      <x:c r="D19" s="12" t="str">
        <x:v>QT | Aconi</x:v>
      </x:c>
      <x:c r="E19" s="12" t="str">
        <x:v>@qtaconi</x:v>
      </x:c>
      <x:c r="F19" s="16" t="n">
        <x:f>SUMPRODUCT(--(I19:AG19='Ключ'!$B$3:$Z$3))*4</x:f>
        <x:v>72</x:v>
      </x:c>
      <x:c r="G19" s="16" t="n">
        <x:v>100</x:v>
      </x:c>
      <x:c r="H19" s="20" t="str">
        <x:v>Синтетика</x:v>
      </x:c>
      <x:c r="I19" s="12" t="str">
        <x:v>B</x:v>
      </x:c>
      <x:c r="J19" s="12" t="str">
        <x:v>D</x:v>
      </x:c>
      <x:c r="K19" s="12" t="str">
        <x:v>C</x:v>
      </x:c>
      <x:c r="L19" s="12" t="str">
        <x:v>D</x:v>
      </x:c>
      <x:c r="M19" s="12" t="str">
        <x:v>D</x:v>
      </x:c>
      <x:c r="N19" s="12" t="str">
        <x:v>D</x:v>
      </x:c>
      <x:c r="O19" s="12" t="str">
        <x:v>C</x:v>
      </x:c>
      <x:c r="P19" s="12" t="str">
        <x:v>D</x:v>
      </x:c>
      <x:c r="Q19" s="12" t="str">
        <x:v>D</x:v>
      </x:c>
      <x:c r="R19" s="12" t="str">
        <x:v>A</x:v>
      </x:c>
      <x:c r="S19" s="12" t="str">
        <x:v>D</x:v>
      </x:c>
      <x:c r="T19" s="12" t="str">
        <x:v>D</x:v>
      </x:c>
      <x:c r="U19" s="12" t="str">
        <x:v>A</x:v>
      </x:c>
      <x:c r="V19" s="12" t="str">
        <x:v>D</x:v>
      </x:c>
      <x:c r="W19" s="12" t="str">
        <x:v>B</x:v>
      </x:c>
      <x:c r="X19" s="12" t="str">
        <x:v>A</x:v>
      </x:c>
      <x:c r="Y19" s="12" t="str">
        <x:v>C</x:v>
      </x:c>
      <x:c r="Z19" s="12" t="str">
        <x:v>B</x:v>
      </x:c>
      <x:c r="AA19" s="12" t="str">
        <x:v>D</x:v>
      </x:c>
      <x:c r="AB19" s="12" t="str">
        <x:v>C</x:v>
      </x:c>
      <x:c r="AC19" s="12" t="str">
        <x:v>A</x:v>
      </x:c>
      <x:c r="AD19" s="12" t="str">
        <x:v>B</x:v>
      </x:c>
      <x:c r="AE19" s="12" t="str">
        <x:v>B</x:v>
      </x:c>
      <x:c r="AF19" s="12" t="str">
        <x:v>A</x:v>
      </x:c>
      <x:c r="AG19" s="12" t="str">
        <x:v>B</x:v>
      </x:c>
    </x:row>
    <x:row r="20">
      <x:c r="A20" s="75" t="str">
        <x:v>23.05.2026 04:56:59</x:v>
      </x:c>
      <x:c r="B20" s="12" t="str">
        <x:v>Воронцов Павел Сергеевич</x:v>
      </x:c>
      <x:c r="C20" s="16" t="n">
        <x:v>17</x:v>
      </x:c>
      <x:c r="D20" s="12" t="str">
        <x:v>Aruva90</x:v>
      </x:c>
      <x:c r="E20" s="12" t="str">
        <x:v>@aruva9075</x:v>
      </x:c>
      <x:c r="F20" s="16" t="n">
        <x:f>SUMPRODUCT(--(I20:AG20='Ключ'!$B$3:$Z$3))*4</x:f>
        <x:v>44</x:v>
      </x:c>
      <x:c r="G20" s="16" t="n">
        <x:v>100</x:v>
      </x:c>
      <x:c r="H20" s="20" t="str">
        <x:v>Синтетика</x:v>
      </x:c>
      <x:c r="I20" s="12" t="str">
        <x:v>D</x:v>
      </x:c>
      <x:c r="J20" s="12" t="str">
        <x:v>A</x:v>
      </x:c>
      <x:c r="K20" s="12" t="str">
        <x:v>C</x:v>
      </x:c>
      <x:c r="L20" s="12" t="str">
        <x:v>D</x:v>
      </x:c>
      <x:c r="M20" s="12" t="str">
        <x:v>B</x:v>
      </x:c>
      <x:c r="N20" s="12" t="str">
        <x:v>B</x:v>
      </x:c>
      <x:c r="O20" s="12" t="str">
        <x:v>D</x:v>
      </x:c>
      <x:c r="P20" s="12" t="str">
        <x:v>D</x:v>
      </x:c>
      <x:c r="Q20" s="12" t="str">
        <x:v>C</x:v>
      </x:c>
      <x:c r="R20" s="12" t="str">
        <x:v>A</x:v>
      </x:c>
      <x:c r="S20" s="12" t="str">
        <x:v>D</x:v>
      </x:c>
      <x:c r="T20" s="12" t="str">
        <x:v>A</x:v>
      </x:c>
      <x:c r="U20" s="12" t="str">
        <x:v>C</x:v>
      </x:c>
      <x:c r="V20" s="12" t="str">
        <x:v>D</x:v>
      </x:c>
      <x:c r="W20" s="12" t="str">
        <x:v>A</x:v>
      </x:c>
      <x:c r="X20" s="12" t="str">
        <x:v>C</x:v>
      </x:c>
      <x:c r="Y20" s="12" t="str">
        <x:v>D</x:v>
      </x:c>
      <x:c r="Z20" s="12" t="str">
        <x:v>B</x:v>
      </x:c>
      <x:c r="AA20" s="12" t="str">
        <x:v>C</x:v>
      </x:c>
      <x:c r="AB20" s="12" t="str">
        <x:v>D</x:v>
      </x:c>
      <x:c r="AC20" s="12" t="str">
        <x:v>B</x:v>
      </x:c>
      <x:c r="AD20" s="12" t="str">
        <x:v>C</x:v>
      </x:c>
      <x:c r="AE20" s="12" t="str">
        <x:v>C</x:v>
      </x:c>
      <x:c r="AF20" s="12" t="str">
        <x:v>D</x:v>
      </x:c>
      <x:c r="AG20" s="12" t="str">
        <x:v>D</x:v>
      </x:c>
    </x:row>
    <x:row r="21">
      <x:c r="A21" s="75" t="str">
        <x:v>23.05.2026 05:53:26</x:v>
      </x:c>
      <x:c r="B21" s="12" t="str">
        <x:v>Смирнов Денис</x:v>
      </x:c>
      <x:c r="C21" s="16" t="n">
        <x:v>18</x:v>
      </x:c>
      <x:c r="D21" s="12" t="str">
        <x:v>Raptor42</x:v>
      </x:c>
      <x:c r="E21" s="12" t="str">
        <x:v>@raptor4220</x:v>
      </x:c>
      <x:c r="F21" s="16" t="n">
        <x:f>SUMPRODUCT(--(I21:AG21='Ключ'!$B$3:$Z$3))*4</x:f>
        <x:v>68</x:v>
      </x:c>
      <x:c r="G21" s="16" t="n">
        <x:v>100</x:v>
      </x:c>
      <x:c r="H21" s="20" t="str">
        <x:v>Синтетика</x:v>
      </x:c>
      <x:c r="I21" s="12" t="str">
        <x:v>B</x:v>
      </x:c>
      <x:c r="J21" s="12" t="str">
        <x:v>A</x:v>
      </x:c>
      <x:c r="K21" s="12" t="str">
        <x:v>D</x:v>
      </x:c>
      <x:c r="L21" s="12" t="str">
        <x:v>D</x:v>
      </x:c>
      <x:c r="M21" s="12" t="str">
        <x:v>D</x:v>
      </x:c>
      <x:c r="N21" s="12" t="str">
        <x:v>D</x:v>
      </x:c>
      <x:c r="O21" s="12" t="str">
        <x:v>D</x:v>
      </x:c>
      <x:c r="P21" s="12" t="str">
        <x:v>A</x:v>
      </x:c>
      <x:c r="Q21" s="12" t="str">
        <x:v>C</x:v>
      </x:c>
      <x:c r="R21" s="12" t="str">
        <x:v>A</x:v>
      </x:c>
      <x:c r="S21" s="12" t="str">
        <x:v>D</x:v>
      </x:c>
      <x:c r="T21" s="12" t="str">
        <x:v>C</x:v>
      </x:c>
      <x:c r="U21" s="12" t="str">
        <x:v>A</x:v>
      </x:c>
      <x:c r="V21" s="12" t="str">
        <x:v>C</x:v>
      </x:c>
      <x:c r="W21" s="12" t="str">
        <x:v>B</x:v>
      </x:c>
      <x:c r="X21" s="12" t="str">
        <x:v>C</x:v>
      </x:c>
      <x:c r="Y21" s="12" t="str">
        <x:v>D</x:v>
      </x:c>
      <x:c r="Z21" s="12" t="str">
        <x:v>B</x:v>
      </x:c>
      <x:c r="AA21" s="12" t="str">
        <x:v>A</x:v>
      </x:c>
      <x:c r="AB21" s="12" t="str">
        <x:v>C</x:v>
      </x:c>
      <x:c r="AC21" s="12" t="str">
        <x:v>A</x:v>
      </x:c>
      <x:c r="AD21" s="12" t="str">
        <x:v>C</x:v>
      </x:c>
      <x:c r="AE21" s="12" t="str">
        <x:v>C</x:v>
      </x:c>
      <x:c r="AF21" s="12" t="str">
        <x:v>C</x:v>
      </x:c>
      <x:c r="AG21" s="12" t="str">
        <x:v>D</x:v>
      </x:c>
    </x:row>
    <x:row r="22">
      <x:c r="A22" s="75" t="str">
        <x:v>23.05.2026 06:57:52</x:v>
      </x:c>
      <x:c r="B22" s="12" t="str">
        <x:v>Сергей</x:v>
      </x:c>
      <x:c r="C22" s="16" t="n">
        <x:v>17</x:v>
      </x:c>
      <x:c r="D22" s="12" t="str">
        <x:v>FUTSK</x:v>
      </x:c>
      <x:c r="E22" s="12" t="str">
        <x:v>@futsk54</x:v>
      </x:c>
      <x:c r="F22" s="16" t="n">
        <x:f>SUMPRODUCT(--(I22:AG22='Ключ'!$B$3:$Z$3))*4</x:f>
        <x:v>60</x:v>
      </x:c>
      <x:c r="G22" s="16" t="n">
        <x:v>100</x:v>
      </x:c>
      <x:c r="H22" s="20" t="str">
        <x:v>Синтетика</x:v>
      </x:c>
      <x:c r="I22" s="12" t="str">
        <x:v>C</x:v>
      </x:c>
      <x:c r="J22" s="12" t="str">
        <x:v>D</x:v>
      </x:c>
      <x:c r="K22" s="12" t="str">
        <x:v>D</x:v>
      </x:c>
      <x:c r="L22" s="12" t="str">
        <x:v>D</x:v>
      </x:c>
      <x:c r="M22" s="12" t="str">
        <x:v>C</x:v>
      </x:c>
      <x:c r="N22" s="12" t="str">
        <x:v>D</x:v>
      </x:c>
      <x:c r="O22" s="12" t="str">
        <x:v>C</x:v>
      </x:c>
      <x:c r="P22" s="12" t="str">
        <x:v>D</x:v>
      </x:c>
      <x:c r="Q22" s="12" t="str">
        <x:v>D</x:v>
      </x:c>
      <x:c r="R22" s="12" t="str">
        <x:v>A</x:v>
      </x:c>
      <x:c r="S22" s="12" t="str">
        <x:v>D</x:v>
      </x:c>
      <x:c r="T22" s="12" t="str">
        <x:v>D</x:v>
      </x:c>
      <x:c r="U22" s="12" t="str">
        <x:v>A</x:v>
      </x:c>
      <x:c r="V22" s="12" t="str">
        <x:v>B</x:v>
      </x:c>
      <x:c r="W22" s="12" t="str">
        <x:v>C</x:v>
      </x:c>
      <x:c r="X22" s="12" t="str">
        <x:v>A</x:v>
      </x:c>
      <x:c r="Y22" s="12" t="str">
        <x:v>C</x:v>
      </x:c>
      <x:c r="Z22" s="12" t="str">
        <x:v>B</x:v>
      </x:c>
      <x:c r="AA22" s="12" t="str">
        <x:v>A</x:v>
      </x:c>
      <x:c r="AB22" s="12" t="str">
        <x:v>C</x:v>
      </x:c>
      <x:c r="AC22" s="12" t="str">
        <x:v>A</x:v>
      </x:c>
      <x:c r="AD22" s="12" t="str">
        <x:v>C</x:v>
      </x:c>
      <x:c r="AE22" s="12" t="str">
        <x:v>C</x:v>
      </x:c>
      <x:c r="AF22" s="12" t="str">
        <x:v>A</x:v>
      </x:c>
      <x:c r="AG22" s="12" t="str">
        <x:v>B</x:v>
      </x:c>
    </x:row>
    <x:row r="23">
      <x:c r="A23" s="75" t="str">
        <x:v>23.05.2026 07:19:38</x:v>
      </x:c>
      <x:c r="B23" s="12" t="str">
        <x:v>руслан</x:v>
      </x:c>
      <x:c r="C23" s="16" t="n">
        <x:v>16</x:v>
      </x:c>
      <x:c r="D23" s="12" t="str">
        <x:v>LilRz8</x:v>
      </x:c>
      <x:c r="E23" s="12" t="str">
        <x:v>@lilrz8</x:v>
      </x:c>
      <x:c r="F23" s="16" t="n">
        <x:f>SUMPRODUCT(--(I23:AG23='Ключ'!$B$3:$Z$3))*4</x:f>
        <x:v>76</x:v>
      </x:c>
      <x:c r="G23" s="16" t="n">
        <x:v>100</x:v>
      </x:c>
      <x:c r="H23" s="20" t="str">
        <x:v>Синтетика</x:v>
      </x:c>
      <x:c r="I23" s="12" t="str">
        <x:v>B</x:v>
      </x:c>
      <x:c r="J23" s="12" t="str">
        <x:v>A</x:v>
      </x:c>
      <x:c r="K23" s="12" t="str">
        <x:v>D</x:v>
      </x:c>
      <x:c r="L23" s="12" t="str">
        <x:v>D</x:v>
      </x:c>
      <x:c r="M23" s="12" t="str">
        <x:v>B</x:v>
      </x:c>
      <x:c r="N23" s="12" t="str">
        <x:v>C</x:v>
      </x:c>
      <x:c r="O23" s="12" t="str">
        <x:v>D</x:v>
      </x:c>
      <x:c r="P23" s="12" t="str">
        <x:v>D</x:v>
      </x:c>
      <x:c r="Q23" s="12" t="str">
        <x:v>C</x:v>
      </x:c>
      <x:c r="R23" s="12" t="str">
        <x:v>A</x:v>
      </x:c>
      <x:c r="S23" s="12" t="str">
        <x:v>C</x:v>
      </x:c>
      <x:c r="T23" s="12" t="str">
        <x:v>C</x:v>
      </x:c>
      <x:c r="U23" s="12" t="str">
        <x:v>A</x:v>
      </x:c>
      <x:c r="V23" s="12" t="str">
        <x:v>C</x:v>
      </x:c>
      <x:c r="W23" s="12" t="str">
        <x:v>B</x:v>
      </x:c>
      <x:c r="X23" s="12" t="str">
        <x:v>A</x:v>
      </x:c>
      <x:c r="Y23" s="12" t="str">
        <x:v>B</x:v>
      </x:c>
      <x:c r="Z23" s="12" t="str">
        <x:v>B</x:v>
      </x:c>
      <x:c r="AA23" s="12" t="str">
        <x:v>A</x:v>
      </x:c>
      <x:c r="AB23" s="12" t="str">
        <x:v>C</x:v>
      </x:c>
      <x:c r="AC23" s="12" t="str">
        <x:v>A</x:v>
      </x:c>
      <x:c r="AD23" s="12" t="str">
        <x:v>B</x:v>
      </x:c>
      <x:c r="AE23" s="12" t="str">
        <x:v>C</x:v>
      </x:c>
      <x:c r="AF23" s="12" t="str">
        <x:v>D</x:v>
      </x:c>
      <x:c r="AG23" s="12" t="str">
        <x:v>B</x:v>
      </x:c>
    </x:row>
    <x:row r="24">
      <x:c r="A24" s="75" t="str">
        <x:v>23.05.2026 07:25:02</x:v>
      </x:c>
      <x:c r="B24" s="12" t="str">
        <x:v>Никольский Марат</x:v>
      </x:c>
      <x:c r="C24" s="16" t="n">
        <x:v>13</x:v>
      </x:c>
      <x:c r="D24" s="12" t="str">
        <x:v>WesxD8</x:v>
      </x:c>
      <x:c r="E24" s="12" t="str">
        <x:v>@wesxd838</x:v>
      </x:c>
      <x:c r="F24" s="16" t="n">
        <x:f>SUMPRODUCT(--(I24:AG24='Ключ'!$B$3:$Z$3))*4</x:f>
        <x:v>60</x:v>
      </x:c>
      <x:c r="G24" s="16" t="n">
        <x:v>100</x:v>
      </x:c>
      <x:c r="H24" s="20" t="str">
        <x:v>Синтетика</x:v>
      </x:c>
      <x:c r="I24" s="12" t="str">
        <x:v>A</x:v>
      </x:c>
      <x:c r="J24" s="12" t="str">
        <x:v>A</x:v>
      </x:c>
      <x:c r="K24" s="12" t="str">
        <x:v>C</x:v>
      </x:c>
      <x:c r="L24" s="12" t="str">
        <x:v>D</x:v>
      </x:c>
      <x:c r="M24" s="12" t="str">
        <x:v>A</x:v>
      </x:c>
      <x:c r="N24" s="12" t="str">
        <x:v>D</x:v>
      </x:c>
      <x:c r="O24" s="12" t="str">
        <x:v>C</x:v>
      </x:c>
      <x:c r="P24" s="12" t="str">
        <x:v>D</x:v>
      </x:c>
      <x:c r="Q24" s="12" t="str">
        <x:v>C</x:v>
      </x:c>
      <x:c r="R24" s="12" t="str">
        <x:v>B</x:v>
      </x:c>
      <x:c r="S24" s="12" t="str">
        <x:v>D</x:v>
      </x:c>
      <x:c r="T24" s="12" t="str">
        <x:v>A</x:v>
      </x:c>
      <x:c r="U24" s="12" t="str">
        <x:v>C</x:v>
      </x:c>
      <x:c r="V24" s="12" t="str">
        <x:v>C</x:v>
      </x:c>
      <x:c r="W24" s="12" t="str">
        <x:v>A</x:v>
      </x:c>
      <x:c r="X24" s="12" t="str">
        <x:v>A</x:v>
      </x:c>
      <x:c r="Y24" s="12" t="str">
        <x:v>B</x:v>
      </x:c>
      <x:c r="Z24" s="12" t="str">
        <x:v>B</x:v>
      </x:c>
      <x:c r="AA24" s="12" t="str">
        <x:v>A</x:v>
      </x:c>
      <x:c r="AB24" s="12" t="str">
        <x:v>A</x:v>
      </x:c>
      <x:c r="AC24" s="12" t="str">
        <x:v>A</x:v>
      </x:c>
      <x:c r="AD24" s="12" t="str">
        <x:v>B</x:v>
      </x:c>
      <x:c r="AE24" s="12" t="str">
        <x:v>B</x:v>
      </x:c>
      <x:c r="AF24" s="12" t="str">
        <x:v>D</x:v>
      </x:c>
      <x:c r="AG24" s="12" t="str">
        <x:v>B</x:v>
      </x:c>
    </x:row>
    <x:row r="25">
      <x:c r="A25" s="75" t="str">
        <x:v>23.05.2026 07:51:36</x:v>
      </x:c>
      <x:c r="B25" s="12" t="str">
        <x:v>Агафонов Павел</x:v>
      </x:c>
      <x:c r="C25" s="16" t="n">
        <x:v>21</x:v>
      </x:c>
      <x:c r="D25" s="12" t="str">
        <x:v>Silent</x:v>
      </x:c>
      <x:c r="E25" s="12" t="str">
        <x:v>@silent13</x:v>
      </x:c>
      <x:c r="F25" s="16" t="n">
        <x:f>SUMPRODUCT(--(I25:AG25='Ключ'!$B$3:$Z$3))*4</x:f>
        <x:v>60</x:v>
      </x:c>
      <x:c r="G25" s="16" t="n">
        <x:v>100</x:v>
      </x:c>
      <x:c r="H25" s="20" t="str">
        <x:v>Синтетика</x:v>
      </x:c>
      <x:c r="I25" s="12" t="str">
        <x:v>B</x:v>
      </x:c>
      <x:c r="J25" s="12" t="str">
        <x:v>A</x:v>
      </x:c>
      <x:c r="K25" s="12" t="str">
        <x:v>C</x:v>
      </x:c>
      <x:c r="L25" s="12" t="str">
        <x:v>A</x:v>
      </x:c>
      <x:c r="M25" s="12" t="str">
        <x:v>B</x:v>
      </x:c>
      <x:c r="N25" s="12" t="str">
        <x:v>D</x:v>
      </x:c>
      <x:c r="O25" s="12" t="str">
        <x:v>B</x:v>
      </x:c>
      <x:c r="P25" s="12" t="str">
        <x:v>D</x:v>
      </x:c>
      <x:c r="Q25" s="12" t="str">
        <x:v>B</x:v>
      </x:c>
      <x:c r="R25" s="12" t="str">
        <x:v>A</x:v>
      </x:c>
      <x:c r="S25" s="12" t="str">
        <x:v>D</x:v>
      </x:c>
      <x:c r="T25" s="12" t="str">
        <x:v>D</x:v>
      </x:c>
      <x:c r="U25" s="12" t="str">
        <x:v>A</x:v>
      </x:c>
      <x:c r="V25" s="12" t="str">
        <x:v>D</x:v>
      </x:c>
      <x:c r="W25" s="12" t="str">
        <x:v>B</x:v>
      </x:c>
      <x:c r="X25" s="12" t="str">
        <x:v>D</x:v>
      </x:c>
      <x:c r="Y25" s="12" t="str">
        <x:v>B</x:v>
      </x:c>
      <x:c r="Z25" s="12" t="str">
        <x:v>A</x:v>
      </x:c>
      <x:c r="AA25" s="12" t="str">
        <x:v>C</x:v>
      </x:c>
      <x:c r="AB25" s="12" t="str">
        <x:v>C</x:v>
      </x:c>
      <x:c r="AC25" s="12" t="str">
        <x:v>A</x:v>
      </x:c>
      <x:c r="AD25" s="12" t="str">
        <x:v>B</x:v>
      </x:c>
      <x:c r="AE25" s="12" t="str">
        <x:v>A</x:v>
      </x:c>
      <x:c r="AF25" s="12" t="str">
        <x:v>D</x:v>
      </x:c>
      <x:c r="AG25" s="12" t="str">
        <x:v>B</x:v>
      </x:c>
    </x:row>
    <x:row r="26">
      <x:c r="A26" s="75" t="str">
        <x:v>23.05.2026 09:15:40</x:v>
      </x:c>
      <x:c r="B26" s="12" t="str">
        <x:v>Власов Илья Игоревич</x:v>
      </x:c>
      <x:c r="C26" s="16" t="n">
        <x:v>15</x:v>
      </x:c>
      <x:c r="D26" s="12" t="str">
        <x:v>BebUp9</x:v>
      </x:c>
      <x:c r="E26" s="12" t="str">
        <x:v>@bebup925</x:v>
      </x:c>
      <x:c r="F26" s="16" t="n">
        <x:f>SUMPRODUCT(--(I26:AG26='Ключ'!$B$3:$Z$3))*4</x:f>
        <x:v>56</x:v>
      </x:c>
      <x:c r="G26" s="16" t="n">
        <x:v>100</x:v>
      </x:c>
      <x:c r="H26" s="20" t="str">
        <x:v>Синтетика</x:v>
      </x:c>
      <x:c r="I26" s="12" t="str">
        <x:v>B</x:v>
      </x:c>
      <x:c r="J26" s="12" t="str">
        <x:v>A</x:v>
      </x:c>
      <x:c r="K26" s="12" t="str">
        <x:v>C</x:v>
      </x:c>
      <x:c r="L26" s="12" t="str">
        <x:v>B</x:v>
      </x:c>
      <x:c r="M26" s="12" t="str">
        <x:v>D</x:v>
      </x:c>
      <x:c r="N26" s="12" t="str">
        <x:v>D</x:v>
      </x:c>
      <x:c r="O26" s="12" t="str">
        <x:v>A</x:v>
      </x:c>
      <x:c r="P26" s="12" t="str">
        <x:v>D</x:v>
      </x:c>
      <x:c r="Q26" s="12" t="str">
        <x:v>D</x:v>
      </x:c>
      <x:c r="R26" s="12" t="str">
        <x:v>A</x:v>
      </x:c>
      <x:c r="S26" s="12" t="str">
        <x:v>D</x:v>
      </x:c>
      <x:c r="T26" s="12" t="str">
        <x:v>B</x:v>
      </x:c>
      <x:c r="U26" s="12" t="str">
        <x:v>C</x:v>
      </x:c>
      <x:c r="V26" s="12" t="str">
        <x:v>B</x:v>
      </x:c>
      <x:c r="W26" s="12" t="str">
        <x:v>B</x:v>
      </x:c>
      <x:c r="X26" s="12" t="str">
        <x:v>D</x:v>
      </x:c>
      <x:c r="Y26" s="12" t="str">
        <x:v>C</x:v>
      </x:c>
      <x:c r="Z26" s="12" t="str">
        <x:v>D</x:v>
      </x:c>
      <x:c r="AA26" s="12" t="str">
        <x:v>C</x:v>
      </x:c>
      <x:c r="AB26" s="12" t="str">
        <x:v>D</x:v>
      </x:c>
      <x:c r="AC26" s="12" t="str">
        <x:v>A</x:v>
      </x:c>
      <x:c r="AD26" s="12" t="str">
        <x:v>B</x:v>
      </x:c>
      <x:c r="AE26" s="12" t="str">
        <x:v>C</x:v>
      </x:c>
      <x:c r="AF26" s="12" t="str">
        <x:v>D</x:v>
      </x:c>
      <x:c r="AG26" s="12" t="str">
        <x:v>D</x:v>
      </x:c>
    </x:row>
    <x:row r="27">
      <x:c r="A27" s="75" t="str">
        <x:v>23.05.2026 09:46:30</x:v>
      </x:c>
      <x:c r="B27" s="12" t="str">
        <x:v>Максим</x:v>
      </x:c>
      <x:c r="C27" s="16" t="n">
        <x:v>16</x:v>
      </x:c>
      <x:c r="D27" s="12" t="str">
        <x:v>verzzi</x:v>
      </x:c>
      <x:c r="E27" s="12" t="str">
        <x:v>@verzzi</x:v>
      </x:c>
      <x:c r="F27" s="16" t="n">
        <x:f>SUMPRODUCT(--(I27:AG27='Ключ'!$B$3:$Z$3))*4</x:f>
        <x:v>64</x:v>
      </x:c>
      <x:c r="G27" s="16" t="n">
        <x:v>100</x:v>
      </x:c>
      <x:c r="H27" s="20" t="str">
        <x:v>Синтетика</x:v>
      </x:c>
      <x:c r="I27" s="12" t="str">
        <x:v>C</x:v>
      </x:c>
      <x:c r="J27" s="12" t="str">
        <x:v>A</x:v>
      </x:c>
      <x:c r="K27" s="12" t="str">
        <x:v>C</x:v>
      </x:c>
      <x:c r="L27" s="12" t="str">
        <x:v>A</x:v>
      </x:c>
      <x:c r="M27" s="12" t="str">
        <x:v>D</x:v>
      </x:c>
      <x:c r="N27" s="12" t="str">
        <x:v>B</x:v>
      </x:c>
      <x:c r="O27" s="12" t="str">
        <x:v>D</x:v>
      </x:c>
      <x:c r="P27" s="12" t="str">
        <x:v>D</x:v>
      </x:c>
      <x:c r="Q27" s="12" t="str">
        <x:v>C</x:v>
      </x:c>
      <x:c r="R27" s="12" t="str">
        <x:v>A</x:v>
      </x:c>
      <x:c r="S27" s="12" t="str">
        <x:v>C</x:v>
      </x:c>
      <x:c r="T27" s="12" t="str">
        <x:v>B</x:v>
      </x:c>
      <x:c r="U27" s="12" t="str">
        <x:v>A</x:v>
      </x:c>
      <x:c r="V27" s="12" t="str">
        <x:v>B</x:v>
      </x:c>
      <x:c r="W27" s="12" t="str">
        <x:v>B</x:v>
      </x:c>
      <x:c r="X27" s="12" t="str">
        <x:v>A</x:v>
      </x:c>
      <x:c r="Y27" s="12" t="str">
        <x:v>D</x:v>
      </x:c>
      <x:c r="Z27" s="12" t="str">
        <x:v>B</x:v>
      </x:c>
      <x:c r="AA27" s="12" t="str">
        <x:v>C</x:v>
      </x:c>
      <x:c r="AB27" s="12" t="str">
        <x:v>C</x:v>
      </x:c>
      <x:c r="AC27" s="12" t="str">
        <x:v>B</x:v>
      </x:c>
      <x:c r="AD27" s="12" t="str">
        <x:v>B</x:v>
      </x:c>
      <x:c r="AE27" s="12" t="str">
        <x:v>C</x:v>
      </x:c>
      <x:c r="AF27" s="12" t="str">
        <x:v>D</x:v>
      </x:c>
      <x:c r="AG27" s="12" t="str">
        <x:v>B</x:v>
      </x:c>
    </x:row>
    <x:row r="28">
      <x:c r="A28" s="75" t="str">
        <x:v>23.05.2026 10:03:35</x:v>
      </x:c>
      <x:c r="B28" s="12" t="str">
        <x:v>Орлов Даниил</x:v>
      </x:c>
      <x:c r="C28" s="16" t="n">
        <x:v>14</x:v>
      </x:c>
      <x:c r="D28" s="12" t="str">
        <x:v>Ikt0rez</x:v>
      </x:c>
      <x:c r="E28" s="12" t="str">
        <x:v>@ikt0rez_gg</x:v>
      </x:c>
      <x:c r="F28" s="16" t="n">
        <x:f>SUMPRODUCT(--(I28:AG28='Ключ'!$B$3:$Z$3))*4</x:f>
        <x:v>64</x:v>
      </x:c>
      <x:c r="G28" s="16" t="n">
        <x:v>100</x:v>
      </x:c>
      <x:c r="H28" s="20" t="str">
        <x:v>Синтетика</x:v>
      </x:c>
      <x:c r="I28" s="12" t="str">
        <x:v>B</x:v>
      </x:c>
      <x:c r="J28" s="12" t="str">
        <x:v>A</x:v>
      </x:c>
      <x:c r="K28" s="12" t="str">
        <x:v>A</x:v>
      </x:c>
      <x:c r="L28" s="12" t="str">
        <x:v>D</x:v>
      </x:c>
      <x:c r="M28" s="12" t="str">
        <x:v>A</x:v>
      </x:c>
      <x:c r="N28" s="12" t="str">
        <x:v>A</x:v>
      </x:c>
      <x:c r="O28" s="12" t="str">
        <x:v>A</x:v>
      </x:c>
      <x:c r="P28" s="12" t="str">
        <x:v>D</x:v>
      </x:c>
      <x:c r="Q28" s="12" t="str">
        <x:v>C</x:v>
      </x:c>
      <x:c r="R28" s="12" t="str">
        <x:v>C</x:v>
      </x:c>
      <x:c r="S28" s="12" t="str">
        <x:v>D</x:v>
      </x:c>
      <x:c r="T28" s="12" t="str">
        <x:v>D</x:v>
      </x:c>
      <x:c r="U28" s="12" t="str">
        <x:v>A</x:v>
      </x:c>
      <x:c r="V28" s="12" t="str">
        <x:v>C</x:v>
      </x:c>
      <x:c r="W28" s="12" t="str">
        <x:v>B</x:v>
      </x:c>
      <x:c r="X28" s="12" t="str">
        <x:v>C</x:v>
      </x:c>
      <x:c r="Y28" s="12" t="str">
        <x:v>C</x:v>
      </x:c>
      <x:c r="Z28" s="12" t="str">
        <x:v>D</x:v>
      </x:c>
      <x:c r="AA28" s="12" t="str">
        <x:v>A</x:v>
      </x:c>
      <x:c r="AB28" s="12" t="str">
        <x:v>C</x:v>
      </x:c>
      <x:c r="AC28" s="12" t="str">
        <x:v>A</x:v>
      </x:c>
      <x:c r="AD28" s="12" t="str">
        <x:v>A</x:v>
      </x:c>
      <x:c r="AE28" s="12" t="str">
        <x:v>C</x:v>
      </x:c>
      <x:c r="AF28" s="12" t="str">
        <x:v>C</x:v>
      </x:c>
      <x:c r="AG28" s="12" t="str">
        <x:v>B</x:v>
      </x:c>
    </x:row>
    <x:row r="29">
      <x:c r="A29" s="75" t="str">
        <x:v>23.05.2026 10:34:38</x:v>
      </x:c>
      <x:c r="B29" s="12" t="str">
        <x:v>Яшин Глеб</x:v>
      </x:c>
      <x:c r="C29" s="16" t="n">
        <x:v>16</x:v>
      </x:c>
      <x:c r="D29" s="12" t="str">
        <x:v>MurUp2</x:v>
      </x:c>
      <x:c r="E29" s="12" t="str">
        <x:v>@murup255</x:v>
      </x:c>
      <x:c r="F29" s="16" t="n">
        <x:f>SUMPRODUCT(--(I29:AG29='Ключ'!$B$3:$Z$3))*4</x:f>
        <x:v>48</x:v>
      </x:c>
      <x:c r="G29" s="16" t="n">
        <x:v>100</x:v>
      </x:c>
      <x:c r="H29" s="20" t="str">
        <x:v>Синтетика</x:v>
      </x:c>
      <x:c r="I29" s="12" t="str">
        <x:v>B</x:v>
      </x:c>
      <x:c r="J29" s="12" t="str">
        <x:v>A</x:v>
      </x:c>
      <x:c r="K29" s="12" t="str">
        <x:v>D</x:v>
      </x:c>
      <x:c r="L29" s="12" t="str">
        <x:v>D</x:v>
      </x:c>
      <x:c r="M29" s="12" t="str">
        <x:v>A</x:v>
      </x:c>
      <x:c r="N29" s="12" t="str">
        <x:v>D</x:v>
      </x:c>
      <x:c r="O29" s="12" t="str">
        <x:v>C</x:v>
      </x:c>
      <x:c r="P29" s="12" t="str">
        <x:v>C</x:v>
      </x:c>
      <x:c r="Q29" s="12" t="str">
        <x:v>C</x:v>
      </x:c>
      <x:c r="R29" s="12" t="str">
        <x:v>D</x:v>
      </x:c>
      <x:c r="S29" s="12" t="str">
        <x:v>A</x:v>
      </x:c>
      <x:c r="T29" s="12" t="str">
        <x:v>D</x:v>
      </x:c>
      <x:c r="U29" s="12" t="str">
        <x:v>C</x:v>
      </x:c>
      <x:c r="V29" s="12" t="str">
        <x:v>C</x:v>
      </x:c>
      <x:c r="W29" s="12" t="str">
        <x:v>C</x:v>
      </x:c>
      <x:c r="X29" s="12" t="str">
        <x:v>A</x:v>
      </x:c>
      <x:c r="Y29" s="12" t="str">
        <x:v>C</x:v>
      </x:c>
      <x:c r="Z29" s="12" t="str">
        <x:v>B</x:v>
      </x:c>
      <x:c r="AA29" s="12" t="str">
        <x:v>C</x:v>
      </x:c>
      <x:c r="AB29" s="12" t="str">
        <x:v>C</x:v>
      </x:c>
      <x:c r="AC29" s="12" t="str">
        <x:v>A</x:v>
      </x:c>
      <x:c r="AD29" s="12" t="str">
        <x:v>D</x:v>
      </x:c>
      <x:c r="AE29" s="12" t="str">
        <x:v>B</x:v>
      </x:c>
      <x:c r="AF29" s="12" t="str">
        <x:v>B</x:v>
      </x:c>
      <x:c r="AG29" s="12" t="str">
        <x:v>D</x:v>
      </x:c>
    </x:row>
    <x:row r="30">
      <x:c r="A30" s="75" t="str">
        <x:v>23.05.2026 12:55:02</x:v>
      </x:c>
      <x:c r="B30" s="12" t="str">
        <x:v>илья</x:v>
      </x:c>
      <x:c r="C30" s="16" t="n">
        <x:v>13</x:v>
      </x:c>
      <x:c r="D30" s="12" t="str">
        <x:v>verzzi</x:v>
      </x:c>
      <x:c r="E30" s="12" t="str">
        <x:v>@verzzi79</x:v>
      </x:c>
      <x:c r="F30" s="16" t="n">
        <x:f>SUMPRODUCT(--(I30:AG30='Ключ'!$B$3:$Z$3))*4</x:f>
        <x:v>60</x:v>
      </x:c>
      <x:c r="G30" s="16" t="n">
        <x:v>100</x:v>
      </x:c>
      <x:c r="H30" s="20" t="str">
        <x:v>Синтетика</x:v>
      </x:c>
      <x:c r="I30" s="12" t="str">
        <x:v>A</x:v>
      </x:c>
      <x:c r="J30" s="12" t="str">
        <x:v>A</x:v>
      </x:c>
      <x:c r="K30" s="12" t="str">
        <x:v>C</x:v>
      </x:c>
      <x:c r="L30" s="12" t="str">
        <x:v>D</x:v>
      </x:c>
      <x:c r="M30" s="12" t="str">
        <x:v>D</x:v>
      </x:c>
      <x:c r="N30" s="12" t="str">
        <x:v>B</x:v>
      </x:c>
      <x:c r="O30" s="12" t="str">
        <x:v>D</x:v>
      </x:c>
      <x:c r="P30" s="12" t="str">
        <x:v>D</x:v>
      </x:c>
      <x:c r="Q30" s="12" t="str">
        <x:v>A</x:v>
      </x:c>
      <x:c r="R30" s="12" t="str">
        <x:v>D</x:v>
      </x:c>
      <x:c r="S30" s="12" t="str">
        <x:v>C</x:v>
      </x:c>
      <x:c r="T30" s="12" t="str">
        <x:v>D</x:v>
      </x:c>
      <x:c r="U30" s="12" t="str">
        <x:v>C</x:v>
      </x:c>
      <x:c r="V30" s="12" t="str">
        <x:v>C</x:v>
      </x:c>
      <x:c r="W30" s="12" t="str">
        <x:v>B</x:v>
      </x:c>
      <x:c r="X30" s="12" t="str">
        <x:v>A</x:v>
      </x:c>
      <x:c r="Y30" s="12" t="str">
        <x:v>C</x:v>
      </x:c>
      <x:c r="Z30" s="12" t="str">
        <x:v>B</x:v>
      </x:c>
      <x:c r="AA30" s="12" t="str">
        <x:v>A</x:v>
      </x:c>
      <x:c r="AB30" s="12" t="str">
        <x:v>C</x:v>
      </x:c>
      <x:c r="AC30" s="12" t="str">
        <x:v>D</x:v>
      </x:c>
      <x:c r="AD30" s="12" t="str">
        <x:v>B</x:v>
      </x:c>
      <x:c r="AE30" s="12" t="str">
        <x:v>A</x:v>
      </x:c>
      <x:c r="AF30" s="12" t="str">
        <x:v>C</x:v>
      </x:c>
      <x:c r="AG30" s="12" t="str">
        <x:v>C</x:v>
      </x:c>
    </x:row>
    <x:row r="31">
      <x:c r="A31" s="75" t="str">
        <x:v>23.05.2026 13:28:49</x:v>
      </x:c>
      <x:c r="B31" s="12" t="str">
        <x:v>Морозов Сергей</x:v>
      </x:c>
      <x:c r="C31" s="16" t="n">
        <x:v>19</x:v>
      </x:c>
      <x:c r="D31" s="12" t="str">
        <x:v>kosh_gg</x:v>
      </x:c>
      <x:c r="E31" s="12" t="str">
        <x:v>@kosh_gg30</x:v>
      </x:c>
      <x:c r="F31" s="16" t="n">
        <x:f>SUMPRODUCT(--(I31:AG31='Ключ'!$B$3:$Z$3))*4</x:f>
        <x:v>60</x:v>
      </x:c>
      <x:c r="G31" s="16" t="n">
        <x:v>100</x:v>
      </x:c>
      <x:c r="H31" s="20" t="str">
        <x:v>Синтетика</x:v>
      </x:c>
      <x:c r="I31" s="12" t="str">
        <x:v>C</x:v>
      </x:c>
      <x:c r="J31" s="12" t="str">
        <x:v>A</x:v>
      </x:c>
      <x:c r="K31" s="12" t="str">
        <x:v>C</x:v>
      </x:c>
      <x:c r="L31" s="12" t="str">
        <x:v>D</x:v>
      </x:c>
      <x:c r="M31" s="12" t="str">
        <x:v>D</x:v>
      </x:c>
      <x:c r="N31" s="12" t="str">
        <x:v>D</x:v>
      </x:c>
      <x:c r="O31" s="12" t="str">
        <x:v>D</x:v>
      </x:c>
      <x:c r="P31" s="12" t="str">
        <x:v>D</x:v>
      </x:c>
      <x:c r="Q31" s="12" t="str">
        <x:v>D</x:v>
      </x:c>
      <x:c r="R31" s="12" t="str">
        <x:v>A</x:v>
      </x:c>
      <x:c r="S31" s="12" t="str">
        <x:v>C</x:v>
      </x:c>
      <x:c r="T31" s="12" t="str">
        <x:v>A</x:v>
      </x:c>
      <x:c r="U31" s="12" t="str">
        <x:v>B</x:v>
      </x:c>
      <x:c r="V31" s="12" t="str">
        <x:v>B</x:v>
      </x:c>
      <x:c r="W31" s="12" t="str">
        <x:v>D</x:v>
      </x:c>
      <x:c r="X31" s="12" t="str">
        <x:v>A</x:v>
      </x:c>
      <x:c r="Y31" s="12" t="str">
        <x:v>C</x:v>
      </x:c>
      <x:c r="Z31" s="12" t="str">
        <x:v>B</x:v>
      </x:c>
      <x:c r="AA31" s="12" t="str">
        <x:v>A</x:v>
      </x:c>
      <x:c r="AB31" s="12" t="str">
        <x:v>A</x:v>
      </x:c>
      <x:c r="AC31" s="12" t="str">
        <x:v>C</x:v>
      </x:c>
      <x:c r="AD31" s="12" t="str">
        <x:v>B</x:v>
      </x:c>
      <x:c r="AE31" s="12" t="str">
        <x:v>C</x:v>
      </x:c>
      <x:c r="AF31" s="12" t="str">
        <x:v>D</x:v>
      </x:c>
      <x:c r="AG31" s="12" t="str">
        <x:v>A</x:v>
      </x:c>
    </x:row>
    <x:row r="32">
      <x:c r="A32" s="75" t="str">
        <x:v>23.05.2026 14:48:17</x:v>
      </x:c>
      <x:c r="B32" s="12" t="str">
        <x:v>Антон 2</x:v>
      </x:c>
      <x:c r="C32" s="16" t="n">
        <x:v>16</x:v>
      </x:c>
      <x:c r="D32" s="12" t="str">
        <x:v>x_Rizik</x:v>
      </x:c>
      <x:c r="E32" s="12" t="str">
        <x:v>@x_rizik22</x:v>
      </x:c>
      <x:c r="F32" s="16" t="n">
        <x:f>SUMPRODUCT(--(I32:AG32='Ключ'!$B$3:$Z$3))*4</x:f>
        <x:v>68</x:v>
      </x:c>
      <x:c r="G32" s="16" t="n">
        <x:v>100</x:v>
      </x:c>
      <x:c r="H32" s="20" t="str">
        <x:v>Синтетика</x:v>
      </x:c>
      <x:c r="I32" s="12" t="str">
        <x:v>B</x:v>
      </x:c>
      <x:c r="J32" s="12" t="str">
        <x:v>A</x:v>
      </x:c>
      <x:c r="K32" s="12" t="str">
        <x:v>C</x:v>
      </x:c>
      <x:c r="L32" s="12" t="str">
        <x:v>D</x:v>
      </x:c>
      <x:c r="M32" s="12" t="str">
        <x:v>D</x:v>
      </x:c>
      <x:c r="N32" s="12" t="str">
        <x:v>D</x:v>
      </x:c>
      <x:c r="O32" s="12" t="str">
        <x:v>D</x:v>
      </x:c>
      <x:c r="P32" s="12" t="str">
        <x:v>D</x:v>
      </x:c>
      <x:c r="Q32" s="12" t="str">
        <x:v>C</x:v>
      </x:c>
      <x:c r="R32" s="12" t="str">
        <x:v>D</x:v>
      </x:c>
      <x:c r="S32" s="12" t="str">
        <x:v>D</x:v>
      </x:c>
      <x:c r="T32" s="12" t="str">
        <x:v>D</x:v>
      </x:c>
      <x:c r="U32" s="12" t="str">
        <x:v>A</x:v>
      </x:c>
      <x:c r="V32" s="12" t="str">
        <x:v>D</x:v>
      </x:c>
      <x:c r="W32" s="12" t="str">
        <x:v>A</x:v>
      </x:c>
      <x:c r="X32" s="12" t="str">
        <x:v>B</x:v>
      </x:c>
      <x:c r="Y32" s="12" t="str">
        <x:v>B</x:v>
      </x:c>
      <x:c r="Z32" s="12" t="str">
        <x:v>B</x:v>
      </x:c>
      <x:c r="AA32" s="12" t="str">
        <x:v>C</x:v>
      </x:c>
      <x:c r="AB32" s="12" t="str">
        <x:v>C</x:v>
      </x:c>
      <x:c r="AC32" s="12" t="str">
        <x:v>A</x:v>
      </x:c>
      <x:c r="AD32" s="12" t="str">
        <x:v>C</x:v>
      </x:c>
      <x:c r="AE32" s="12" t="str">
        <x:v>D</x:v>
      </x:c>
      <x:c r="AF32" s="12" t="str">
        <x:v>D</x:v>
      </x:c>
      <x:c r="AG32" s="12" t="str">
        <x:v>B</x:v>
      </x:c>
    </x:row>
    <x:row r="33">
      <x:c r="A33" s="75" t="str">
        <x:v>23.05.2026 15:57:48</x:v>
      </x:c>
      <x:c r="B33" s="12" t="str">
        <x:v>Зайцев Антон</x:v>
      </x:c>
      <x:c r="C33" s="16" t="n">
        <x:v>16</x:v>
      </x:c>
      <x:c r="D33" s="12" t="str">
        <x:v>AruUp5</x:v>
      </x:c>
      <x:c r="E33" s="12" t="str">
        <x:v>@aruup5_off</x:v>
      </x:c>
      <x:c r="F33" s="16" t="n">
        <x:f>SUMPRODUCT(--(I33:AG33='Ключ'!$B$3:$Z$3))*4</x:f>
        <x:v>76</x:v>
      </x:c>
      <x:c r="G33" s="16" t="n">
        <x:v>100</x:v>
      </x:c>
      <x:c r="H33" s="20" t="str">
        <x:v>Синтетика</x:v>
      </x:c>
      <x:c r="I33" s="12" t="str">
        <x:v>B</x:v>
      </x:c>
      <x:c r="J33" s="12" t="str">
        <x:v>A</x:v>
      </x:c>
      <x:c r="K33" s="12" t="str">
        <x:v>C</x:v>
      </x:c>
      <x:c r="L33" s="12" t="str">
        <x:v>D</x:v>
      </x:c>
      <x:c r="M33" s="12" t="str">
        <x:v>A</x:v>
      </x:c>
      <x:c r="N33" s="12" t="str">
        <x:v>D</x:v>
      </x:c>
      <x:c r="O33" s="12" t="str">
        <x:v>D</x:v>
      </x:c>
      <x:c r="P33" s="12" t="str">
        <x:v>D</x:v>
      </x:c>
      <x:c r="Q33" s="12" t="str">
        <x:v>C</x:v>
      </x:c>
      <x:c r="R33" s="12" t="str">
        <x:v>B</x:v>
      </x:c>
      <x:c r="S33" s="12" t="str">
        <x:v>D</x:v>
      </x:c>
      <x:c r="T33" s="12" t="str">
        <x:v>B</x:v>
      </x:c>
      <x:c r="U33" s="12" t="str">
        <x:v>A</x:v>
      </x:c>
      <x:c r="V33" s="12" t="str">
        <x:v>C</x:v>
      </x:c>
      <x:c r="W33" s="12" t="str">
        <x:v>A</x:v>
      </x:c>
      <x:c r="X33" s="12" t="str">
        <x:v>A</x:v>
      </x:c>
      <x:c r="Y33" s="12" t="str">
        <x:v>C</x:v>
      </x:c>
      <x:c r="Z33" s="12" t="str">
        <x:v>A</x:v>
      </x:c>
      <x:c r="AA33" s="12" t="str">
        <x:v>A</x:v>
      </x:c>
      <x:c r="AB33" s="12" t="str">
        <x:v>C</x:v>
      </x:c>
      <x:c r="AC33" s="12" t="str">
        <x:v>A</x:v>
      </x:c>
      <x:c r="AD33" s="12" t="str">
        <x:v>B</x:v>
      </x:c>
      <x:c r="AE33" s="12" t="str">
        <x:v>A</x:v>
      </x:c>
      <x:c r="AF33" s="12" t="str">
        <x:v>D</x:v>
      </x:c>
      <x:c r="AG33" s="12" t="str">
        <x:v>B</x:v>
      </x:c>
    </x:row>
    <x:row r="34">
      <x:c r="A34" s="75" t="str">
        <x:v>23.05.2026 17:31:33</x:v>
      </x:c>
      <x:c r="B34" s="12" t="str">
        <x:v>Агафонов Артем</x:v>
      </x:c>
      <x:c r="C34" s="16" t="n">
        <x:v>17</x:v>
      </x:c>
      <x:c r="D34" s="12" t="str">
        <x:v>nutei_gg</x:v>
      </x:c>
      <x:c r="E34" s="12" t="str">
        <x:v>@nutei_gg</x:v>
      </x:c>
      <x:c r="F34" s="16" t="n">
        <x:f>SUMPRODUCT(--(I34:AG34='Ключ'!$B$3:$Z$3))*4</x:f>
        <x:v>60</x:v>
      </x:c>
      <x:c r="G34" s="16" t="n">
        <x:v>100</x:v>
      </x:c>
      <x:c r="H34" s="20" t="str">
        <x:v>Синтетика</x:v>
      </x:c>
      <x:c r="I34" s="12" t="str">
        <x:v>B</x:v>
      </x:c>
      <x:c r="J34" s="12" t="str">
        <x:v>A</x:v>
      </x:c>
      <x:c r="K34" s="12" t="str">
        <x:v>B</x:v>
      </x:c>
      <x:c r="L34" s="12" t="str">
        <x:v>D</x:v>
      </x:c>
      <x:c r="M34" s="12" t="str">
        <x:v>D</x:v>
      </x:c>
      <x:c r="N34" s="12" t="str">
        <x:v>C</x:v>
      </x:c>
      <x:c r="O34" s="12" t="str">
        <x:v>A</x:v>
      </x:c>
      <x:c r="P34" s="12" t="str">
        <x:v>D</x:v>
      </x:c>
      <x:c r="Q34" s="12" t="str">
        <x:v>C</x:v>
      </x:c>
      <x:c r="R34" s="12" t="str">
        <x:v>C</x:v>
      </x:c>
      <x:c r="S34" s="12" t="str">
        <x:v>D</x:v>
      </x:c>
      <x:c r="T34" s="12" t="str">
        <x:v>B</x:v>
      </x:c>
      <x:c r="U34" s="12" t="str">
        <x:v>A</x:v>
      </x:c>
      <x:c r="V34" s="12" t="str">
        <x:v>B</x:v>
      </x:c>
      <x:c r="W34" s="12" t="str">
        <x:v>B</x:v>
      </x:c>
      <x:c r="X34" s="12" t="str">
        <x:v>A</x:v>
      </x:c>
      <x:c r="Y34" s="12" t="str">
        <x:v>C</x:v>
      </x:c>
      <x:c r="Z34" s="12" t="str">
        <x:v>A</x:v>
      </x:c>
      <x:c r="AA34" s="12" t="str">
        <x:v>D</x:v>
      </x:c>
      <x:c r="AB34" s="12" t="str">
        <x:v>C</x:v>
      </x:c>
      <x:c r="AC34" s="12" t="str">
        <x:v>A</x:v>
      </x:c>
      <x:c r="AD34" s="12" t="str">
        <x:v>A</x:v>
      </x:c>
      <x:c r="AE34" s="12" t="str">
        <x:v>C</x:v>
      </x:c>
      <x:c r="AF34" s="12" t="str">
        <x:v>A</x:v>
      </x:c>
      <x:c r="AG34" s="12" t="str">
        <x:v>B</x:v>
      </x:c>
    </x:row>
    <x:row r="35">
      <x:c r="A35" s="75" t="str">
        <x:v>23.05.2026 18:03:43</x:v>
      </x:c>
      <x:c r="B35" s="12" t="str">
        <x:v>Быков Вадим</x:v>
      </x:c>
      <x:c r="C35" s="16" t="n">
        <x:v>14</x:v>
      </x:c>
      <x:c r="D35" s="12" t="str">
        <x:v>SM | Raptor</x:v>
      </x:c>
      <x:c r="E35" s="12" t="str">
        <x:v>@smraptor34</x:v>
      </x:c>
      <x:c r="F35" s="16" t="n">
        <x:f>SUMPRODUCT(--(I35:AG35='Ключ'!$B$3:$Z$3))*4</x:f>
        <x:v>80</x:v>
      </x:c>
      <x:c r="G35" s="16" t="n">
        <x:v>100</x:v>
      </x:c>
      <x:c r="H35" s="20" t="str">
        <x:v>Синтетика</x:v>
      </x:c>
      <x:c r="I35" s="12" t="str">
        <x:v>B</x:v>
      </x:c>
      <x:c r="J35" s="12" t="str">
        <x:v>A</x:v>
      </x:c>
      <x:c r="K35" s="12" t="str">
        <x:v>C</x:v>
      </x:c>
      <x:c r="L35" s="12" t="str">
        <x:v>D</x:v>
      </x:c>
      <x:c r="M35" s="12" t="str">
        <x:v>D</x:v>
      </x:c>
      <x:c r="N35" s="12" t="str">
        <x:v>A</x:v>
      </x:c>
      <x:c r="O35" s="12" t="str">
        <x:v>D</x:v>
      </x:c>
      <x:c r="P35" s="12" t="str">
        <x:v>D</x:v>
      </x:c>
      <x:c r="Q35" s="12" t="str">
        <x:v>C</x:v>
      </x:c>
      <x:c r="R35" s="12" t="str">
        <x:v>A</x:v>
      </x:c>
      <x:c r="S35" s="12" t="str">
        <x:v>D</x:v>
      </x:c>
      <x:c r="T35" s="12" t="str">
        <x:v>D</x:v>
      </x:c>
      <x:c r="U35" s="12" t="str">
        <x:v>C</x:v>
      </x:c>
      <x:c r="V35" s="12" t="str">
        <x:v>B</x:v>
      </x:c>
      <x:c r="W35" s="12" t="str">
        <x:v>B</x:v>
      </x:c>
      <x:c r="X35" s="12" t="str">
        <x:v>A</x:v>
      </x:c>
      <x:c r="Y35" s="12" t="str">
        <x:v>C</x:v>
      </x:c>
      <x:c r="Z35" s="12" t="str">
        <x:v>B</x:v>
      </x:c>
      <x:c r="AA35" s="12" t="str">
        <x:v>A</x:v>
      </x:c>
      <x:c r="AB35" s="12" t="str">
        <x:v>C</x:v>
      </x:c>
      <x:c r="AC35" s="12" t="str">
        <x:v>A</x:v>
      </x:c>
      <x:c r="AD35" s="12" t="str">
        <x:v>D</x:v>
      </x:c>
      <x:c r="AE35" s="12" t="str">
        <x:v>C</x:v>
      </x:c>
      <x:c r="AF35" s="12" t="str">
        <x:v>D</x:v>
      </x:c>
      <x:c r="AG35" s="12" t="str">
        <x:v>A</x:v>
      </x:c>
    </x:row>
    <x:row r="36">
      <x:c r="A36" s="75" t="str">
        <x:v>23.05.2026 20:17:05</x:v>
      </x:c>
      <x:c r="B36" s="12" t="str">
        <x:v>Яшин Вадим</x:v>
      </x:c>
      <x:c r="C36" s="16" t="n">
        <x:v>15</x:v>
      </x:c>
      <x:c r="D36" s="12" t="str">
        <x:v>FoxUp9</x:v>
      </x:c>
      <x:c r="E36" s="12" t="str">
        <x:v>@foxup922</x:v>
      </x:c>
      <x:c r="F36" s="16" t="n">
        <x:f>SUMPRODUCT(--(I36:AG36='Ключ'!$B$3:$Z$3))*4</x:f>
        <x:v>64</x:v>
      </x:c>
      <x:c r="G36" s="16" t="n">
        <x:v>100</x:v>
      </x:c>
      <x:c r="H36" s="20" t="str">
        <x:v>Синтетика</x:v>
      </x:c>
      <x:c r="I36" s="12" t="str">
        <x:v>B</x:v>
      </x:c>
      <x:c r="J36" s="12" t="str">
        <x:v>B</x:v>
      </x:c>
      <x:c r="K36" s="12" t="str">
        <x:v>C</x:v>
      </x:c>
      <x:c r="L36" s="12" t="str">
        <x:v>B</x:v>
      </x:c>
      <x:c r="M36" s="12" t="str">
        <x:v>D</x:v>
      </x:c>
      <x:c r="N36" s="12" t="str">
        <x:v>D</x:v>
      </x:c>
      <x:c r="O36" s="12" t="str">
        <x:v>D</x:v>
      </x:c>
      <x:c r="P36" s="12" t="str">
        <x:v>C</x:v>
      </x:c>
      <x:c r="Q36" s="12" t="str">
        <x:v>C</x:v>
      </x:c>
      <x:c r="R36" s="12" t="str">
        <x:v>A</x:v>
      </x:c>
      <x:c r="S36" s="12" t="str">
        <x:v>C</x:v>
      </x:c>
      <x:c r="T36" s="12" t="str">
        <x:v>D</x:v>
      </x:c>
      <x:c r="U36" s="12" t="str">
        <x:v>A</x:v>
      </x:c>
      <x:c r="V36" s="12" t="str">
        <x:v>A</x:v>
      </x:c>
      <x:c r="W36" s="12" t="str">
        <x:v>B</x:v>
      </x:c>
      <x:c r="X36" s="12" t="str">
        <x:v>A</x:v>
      </x:c>
      <x:c r="Y36" s="12" t="str">
        <x:v>C</x:v>
      </x:c>
      <x:c r="Z36" s="12" t="str">
        <x:v>C</x:v>
      </x:c>
      <x:c r="AA36" s="12" t="str">
        <x:v>A</x:v>
      </x:c>
      <x:c r="AB36" s="12" t="str">
        <x:v>A</x:v>
      </x:c>
      <x:c r="AC36" s="12" t="str">
        <x:v>A</x:v>
      </x:c>
      <x:c r="AD36" s="12" t="str">
        <x:v>C</x:v>
      </x:c>
      <x:c r="AE36" s="12" t="str">
        <x:v>C</x:v>
      </x:c>
      <x:c r="AF36" s="12" t="str">
        <x:v>C</x:v>
      </x:c>
      <x:c r="AG36" s="12" t="str">
        <x:v>B</x:v>
      </x:c>
    </x:row>
  </x:sheetData>
  <x:conditionalFormatting sqref="I2:AG36">
    <x:cfRule type="expression" dxfId="0" priority="1">
      <x:formula>I2=INDEX('Ключ'!$B$3:$Z$3,1,COLUMN()-COLUMN($I$1)+1)</x:formula>
    </x:cfRule>
    <x:cfRule type="expression" dxfId="1" priority="2">
      <x:formula>I2&lt;&gt;INDEX('Ключ'!$B$3:$Z$3,1,COLUMN()-COLUMN($I$1)+1)</x:formula>
    </x:cfRule>
  </x:conditionalFormatting>
  <x:conditionalFormatting sqref="F2:F36">
    <x:cfRule type="dataBar" priority="3">
      <x:dataBar>
        <x:cfvo type="min"/>
        <x:cfvo type="max"/>
        <x:color rgb="60A5FA"/>
      </x:dataBar>
      <x:extLst>
        <x:ext xmlns:x14="http://schemas.microsoft.com/office/spreadsheetml/2009/9/main" uri="{B025F937-C7B1-47D3-B67F-A62EFF666E3E}">
          <x14:id>{8071D691-03EB-F3C2-EB4E-4D3E74D969BA}</x14:id>
        </x:ext>
      </x:extLst>
    </x:cfRule>
    <x:cfRule type="cellIs" dxfId="2" priority="4" operator="greaterThan">
      <x:formula>83</x:formula>
    </x:cfRule>
  </x:conditionalFormatting>
  <x:dataValidations count="1">
    <x:dataValidation type="list" sqref="I2:AG36">
      <x:formula1>"A,B,C,D"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00c58b0706467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8071D691-03EB-F3C2-EB4E-4D3E74D969BA}">
            <x14:dataBar gradient="1">
              <x14:cfvo type="min"/>
              <x14:cfvo type="max"/>
              <x14:fillColor rgb="60A5FA"/>
            </x14:dataBar>
          </x14:cfRule>
          <xm:sqref>F2:F36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4" max="4" width="16" hidden="0" customWidth="1"/>
    <x:col min="5" max="5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64" t="str">
        <x:v>Сводка по синтетическим прохождениям экзамена</x:v>
      </x:c>
      <x:c r="B1" s="64"/>
      <x:c r="C1" s="64"/>
      <x:c r="D1" s="64"/>
      <x:c r="E1" s="64"/>
      <x:c r="F1" s="64"/>
      <x:c r="G1" s="64"/>
      <x:c r="H1" s="64"/>
      <x:c r="I1" s="12"/>
      <x:c r="J1" s="12"/>
    </x:row>
    <x:row r="2">
      <x:c r="A2" s="19" t="str">
        <x:v>Файл специально помечен как синтетический: его можно использовать для тестирования, макетов и расчета статистики, но не как реальные сдачи.</x:v>
      </x:c>
      <x:c r="B2" s="19"/>
      <x:c r="C2" s="19"/>
      <x:c r="D2" s="19"/>
      <x:c r="E2" s="19"/>
      <x:c r="F2" s="19"/>
      <x:c r="G2" s="19"/>
      <x:c r="H2" s="19"/>
      <x:c r="I2" s="12"/>
      <x:c r="J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</x:row>
    <x:row r="4">
      <x:c r="A4" s="32" t="str">
        <x:v>Всего записей</x:v>
      </x:c>
      <x:c r="B4" s="72" t="n">
        <x:f>COUNTA('Результаты'!B2:B36)</x:f>
        <x:v>35</x:v>
      </x:c>
      <x:c r="C4" s="12"/>
      <x:c r="D4" s="6" t="str">
        <x:v>Диапазон баллов</x:v>
      </x:c>
      <x:c r="E4" s="6" t="str">
        <x:v>Кол-во</x:v>
      </x:c>
      <x:c r="F4" s="12"/>
      <x:c r="G4" s="6" t="str">
        <x:v>Проверка</x:v>
      </x:c>
      <x:c r="H4" s="6" t="str">
        <x:v>Значение</x:v>
      </x:c>
      <x:c r="I4" s="6" t="str">
        <x:v>Ожидание</x:v>
      </x:c>
      <x:c r="J4" s="6" t="str">
        <x:v>Статус</x:v>
      </x:c>
    </x:row>
    <x:row r="5">
      <x:c r="A5" s="32" t="str">
        <x:v>Средний балл</x:v>
      </x:c>
      <x:c r="B5" s="70" t="n">
        <x:f>AVERAGE('Результаты'!F2:F36)</x:f>
        <x:v>64.45714285714286</x:v>
      </x:c>
      <x:c r="C5" s="12"/>
      <x:c r="D5" s="66" t="str">
        <x:v>0–49</x:v>
      </x:c>
      <x:c r="E5" s="66" t="n">
        <x:f>COUNTIFS('Результаты'!F2:F36,"&gt;=0",'Результаты'!F2:F36,"&lt;=49")</x:f>
        <x:v>4</x:v>
      </x:c>
      <x:c r="F5" s="12"/>
      <x:c r="G5" s="12" t="str">
        <x:v>Кол-во строк</x:v>
      </x:c>
      <x:c r="H5" s="12" t="n">
        <x:f>B4</x:f>
        <x:v>35</x:v>
      </x:c>
      <x:c r="I5" s="12" t="n">
        <x:v>35</x:v>
      </x:c>
      <x:c r="J5" s="12" t="str">
        <x:f>IF(H5=I5,"ОК","Проверь")</x:f>
        <x:v>ОК</x:v>
      </x:c>
    </x:row>
    <x:row r="6">
      <x:c r="A6" s="32" t="str">
        <x:v>Минимальный балл</x:v>
      </x:c>
      <x:c r="B6" s="70" t="n">
        <x:f>MIN('Результаты'!F2:F36)</x:f>
        <x:v>40</x:v>
      </x:c>
      <x:c r="C6" s="12"/>
      <x:c r="D6" s="66" t="str">
        <x:v>50–59</x:v>
      </x:c>
      <x:c r="E6" s="66" t="n">
        <x:f>COUNTIFS('Результаты'!F2:F36,"&gt;=50",'Результаты'!F2:F36,"&lt;=59")</x:f>
        <x:v>3</x:v>
      </x:c>
      <x:c r="F6" s="12"/>
      <x:c r="G6" s="12" t="str">
        <x:v>Лимит баллов</x:v>
      </x:c>
      <x:c r="H6" s="12" t="n">
        <x:f>B8</x:f>
        <x:v>0</x:v>
      </x:c>
      <x:c r="I6" s="12" t="str">
        <x:v>≤83</x:v>
      </x:c>
      <x:c r="J6" s="12" t="str">
        <x:f>IF(H6=0,"ОК","Проверь")</x:f>
        <x:v>ОК</x:v>
      </x:c>
    </x:row>
    <x:row r="7">
      <x:c r="A7" s="32" t="str">
        <x:v>Максимальный балл</x:v>
      </x:c>
      <x:c r="B7" s="70" t="n">
        <x:f>MAX('Результаты'!F2:F36)</x:f>
        <x:v>80</x:v>
      </x:c>
      <x:c r="C7" s="12"/>
      <x:c r="D7" s="66" t="str">
        <x:v>60–69</x:v>
      </x:c>
      <x:c r="E7" s="66" t="n">
        <x:f>COUNTIFS('Результаты'!F2:F36,"&gt;=60",'Результаты'!F2:F36,"&lt;=69")</x:f>
        <x:v>17</x:v>
      </x:c>
      <x:c r="F7" s="12"/>
      <x:c r="G7" s="12" t="str">
        <x:v>Тип данных</x:v>
      </x:c>
      <x:c r="H7" s="12" t="str">
        <x:v>Синтетика</x:v>
      </x:c>
      <x:c r="I7" s="12" t="str">
        <x:v>Синтетика</x:v>
      </x:c>
      <x:c r="J7" s="12" t="str">
        <x:f>IF(H7=I7,"ОК","Проверь")</x:f>
        <x:v>ОК</x:v>
      </x:c>
    </x:row>
    <x:row r="8">
      <x:c r="A8" s="32" t="str">
        <x:v>Строк с баллом &gt; 83</x:v>
      </x:c>
      <x:c r="B8" s="70" t="n">
        <x:f>COUNTIF('Результаты'!F2:F36,"&gt;83")</x:f>
        <x:v>0</x:v>
      </x:c>
      <x:c r="C8" s="12"/>
      <x:c r="D8" s="66" t="str">
        <x:v>70–83</x:v>
      </x:c>
      <x:c r="E8" s="66" t="n">
        <x:f>COUNTIFS('Результаты'!F2:F36,"&gt;=70",'Результаты'!F2:F36,"&lt;=83")</x:f>
        <x:v>11</x:v>
      </x:c>
      <x:c r="F8" s="12"/>
      <x:c r="G8" s="12"/>
      <x:c r="H8" s="12"/>
      <x:c r="I8" s="12"/>
      <x:c r="J8" s="12"/>
    </x:row>
    <x:row r="9">
      <x:c r="A9" s="32" t="str">
        <x:v>Диапазон дат</x:v>
      </x:c>
      <x:c r="B9" s="65" t="str">
        <x:v>22.05.2026 13:55 — 23.05.2026 20:17</x:v>
      </x:c>
      <x:c r="C9" s="12"/>
      <x:c r="D9" s="66" t="str">
        <x:v>&gt;83</x:v>
      </x:c>
      <x:c r="E9" s="66" t="n">
        <x:f>COUNTIF('Результаты'!F2:F36,"&gt;83")</x:f>
        <x:v>0</x:v>
      </x:c>
      <x:c r="F9" s="12"/>
      <x:c r="G9" s="12"/>
      <x:c r="H9" s="12"/>
      <x:c r="I9" s="12"/>
      <x:c r="J9" s="12"/>
    </x:row>
    <x:row r="10">
      <x:c r="A10" s="32" t="str">
        <x:v>Средний возраст</x:v>
      </x:c>
      <x:c r="B10" s="70" t="n">
        <x:f>AVERAGE('Результаты'!C2:C36)</x:f>
        <x:v>15.742857142857142</x:v>
      </x:c>
      <x:c r="C10" s="12"/>
      <x:c r="D10" s="12"/>
      <x:c r="E10" s="12"/>
      <x:c r="F10" s="12"/>
      <x:c r="G10" s="12"/>
      <x:c r="H10" s="12"/>
      <x:c r="I10" s="12"/>
      <x:c r="J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</x:sheetData>
  <x:mergeCells>
    <x:mergeCell ref="A1:H1"/>
    <x:mergeCell ref="A2:H2"/>
  </x:mergeCells>
  <x:conditionalFormatting sqref="J5:J7">
    <x:cfRule type="expression" dxfId="3" priority="1">
      <x:formula>J5="ОК"</x:formula>
    </x:cfRule>
    <x:cfRule type="expression" dxfId="4" priority="2">
      <x:formula>J5&lt;&gt;"ОК"</x:formula>
    </x:cfRule>
  </x:conditionalFormatting>
  <x:pageMargins left="0.7" right="0.7" top="0.75" bottom="0.75" header="0.3" footer="0.3"/>
  <x:drawing xmlns:r="http://schemas.openxmlformats.org/officeDocument/2006/relationships" r:id="R7586d08e21d3483c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</x:cols>
  <x:sheetData>
    <x:row r="1">
      <x:c r="A1" s="19" t="str">
        <x:v>Синтетический ключ ответа. Данные в файле созданы для тестовой статистики, не являются реальными прохождениями.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  <x:c r="V1" s="19"/>
      <x:c r="W1" s="19"/>
      <x:c r="X1" s="19"/>
      <x:c r="Y1" s="19"/>
      <x:c r="Z1" s="19"/>
    </x:row>
    <x:row r="2">
      <x:c r="A2" s="6" t="str">
        <x:v>Поле</x:v>
      </x:c>
      <x:c r="B2" s="6" t="str">
        <x:v>Вопрос 1</x:v>
      </x:c>
      <x:c r="C2" s="6" t="str">
        <x:v>Вопрос 2</x:v>
      </x:c>
      <x:c r="D2" s="6" t="str">
        <x:v>Вопрос 3</x:v>
      </x:c>
      <x:c r="E2" s="6" t="str">
        <x:v>Вопрос 4</x:v>
      </x:c>
      <x:c r="F2" s="6" t="str">
        <x:v>Вопрос 5</x:v>
      </x:c>
      <x:c r="G2" s="6" t="str">
        <x:v>Вопрос 6</x:v>
      </x:c>
      <x:c r="H2" s="6" t="str">
        <x:v>Вопрос 7</x:v>
      </x:c>
      <x:c r="I2" s="6" t="str">
        <x:v>Вопрос 8</x:v>
      </x:c>
      <x:c r="J2" s="6" t="str">
        <x:v>Вопрос 9</x:v>
      </x:c>
      <x:c r="K2" s="6" t="str">
        <x:v>Вопрос 10</x:v>
      </x:c>
      <x:c r="L2" s="6" t="str">
        <x:v>Вопрос 11</x:v>
      </x:c>
      <x:c r="M2" s="6" t="str">
        <x:v>Вопрос 12</x:v>
      </x:c>
      <x:c r="N2" s="6" t="str">
        <x:v>Вопрос 13</x:v>
      </x:c>
      <x:c r="O2" s="6" t="str">
        <x:v>Вопрос 14</x:v>
      </x:c>
      <x:c r="P2" s="6" t="str">
        <x:v>Вопрос 15</x:v>
      </x:c>
      <x:c r="Q2" s="6" t="str">
        <x:v>Вопрос 16</x:v>
      </x:c>
      <x:c r="R2" s="6" t="str">
        <x:v>Вопрос 17</x:v>
      </x:c>
      <x:c r="S2" s="6" t="str">
        <x:v>Вопрос 18</x:v>
      </x:c>
      <x:c r="T2" s="6" t="str">
        <x:v>Вопрос 19</x:v>
      </x:c>
      <x:c r="U2" s="6" t="str">
        <x:v>Вопрос 20</x:v>
      </x:c>
      <x:c r="V2" s="6" t="str">
        <x:v>Вопрос 21</x:v>
      </x:c>
      <x:c r="W2" s="6" t="str">
        <x:v>Вопрос 22</x:v>
      </x:c>
      <x:c r="X2" s="6" t="str">
        <x:v>Вопрос 23</x:v>
      </x:c>
      <x:c r="Y2" s="6" t="str">
        <x:v>Вопрос 24</x:v>
      </x:c>
      <x:c r="Z2" s="6" t="str">
        <x:v>Вопрос 25</x:v>
      </x:c>
    </x:row>
    <x:row r="3">
      <x:c r="A3" s="32" t="str">
        <x:v>Правильный ответ</x:v>
      </x:c>
      <x:c r="B3" s="40" t="str">
        <x:v>B</x:v>
      </x:c>
      <x:c r="C3" s="40" t="str">
        <x:v>A</x:v>
      </x:c>
      <x:c r="D3" s="40" t="str">
        <x:v>C</x:v>
      </x:c>
      <x:c r="E3" s="40" t="str">
        <x:v>D</x:v>
      </x:c>
      <x:c r="F3" s="40" t="str">
        <x:v>D</x:v>
      </x:c>
      <x:c r="G3" s="40" t="str">
        <x:v>D</x:v>
      </x:c>
      <x:c r="H3" s="40" t="str">
        <x:v>D</x:v>
      </x:c>
      <x:c r="I3" s="40" t="str">
        <x:v>D</x:v>
      </x:c>
      <x:c r="J3" s="40" t="str">
        <x:v>C</x:v>
      </x:c>
      <x:c r="K3" s="40" t="str">
        <x:v>A</x:v>
      </x:c>
      <x:c r="L3" s="40" t="str">
        <x:v>D</x:v>
      </x:c>
      <x:c r="M3" s="40" t="str">
        <x:v>D</x:v>
      </x:c>
      <x:c r="N3" s="40" t="str">
        <x:v>A</x:v>
      </x:c>
      <x:c r="O3" s="40" t="str">
        <x:v>C</x:v>
      </x:c>
      <x:c r="P3" s="40" t="str">
        <x:v>B</x:v>
      </x:c>
      <x:c r="Q3" s="40" t="str">
        <x:v>A</x:v>
      </x:c>
      <x:c r="R3" s="40" t="str">
        <x:v>C</x:v>
      </x:c>
      <x:c r="S3" s="40" t="str">
        <x:v>B</x:v>
      </x:c>
      <x:c r="T3" s="40" t="str">
        <x:v>A</x:v>
      </x:c>
      <x:c r="U3" s="40" t="str">
        <x:v>C</x:v>
      </x:c>
      <x:c r="V3" s="40" t="str">
        <x:v>A</x:v>
      </x:c>
      <x:c r="W3" s="40" t="str">
        <x:v>B</x:v>
      </x:c>
      <x:c r="X3" s="40" t="str">
        <x:v>C</x:v>
      </x:c>
      <x:c r="Y3" s="40" t="str">
        <x:v>D</x:v>
      </x:c>
      <x:c r="Z3" s="40" t="str">
        <x:v>B</x:v>
      </x:c>
    </x:row>
    <x:row r="4">
      <x:c r="A4" s="32" t="str">
        <x:v>Баллы за вопрос</x:v>
      </x:c>
      <x:c r="B4" s="45" t="n">
        <x:v>4</x:v>
      </x:c>
      <x:c r="C4" s="45" t="n">
        <x:v>4</x:v>
      </x:c>
      <x:c r="D4" s="45" t="n">
        <x:v>4</x:v>
      </x:c>
      <x:c r="E4" s="45" t="n">
        <x:v>4</x:v>
      </x:c>
      <x:c r="F4" s="45" t="n">
        <x:v>4</x:v>
      </x:c>
      <x:c r="G4" s="45" t="n">
        <x:v>4</x:v>
      </x:c>
      <x:c r="H4" s="45" t="n">
        <x:v>4</x:v>
      </x:c>
      <x:c r="I4" s="45" t="n">
        <x:v>4</x:v>
      </x:c>
      <x:c r="J4" s="45" t="n">
        <x:v>4</x:v>
      </x:c>
      <x:c r="K4" s="45" t="n">
        <x:v>4</x:v>
      </x:c>
      <x:c r="L4" s="45" t="n">
        <x:v>4</x:v>
      </x:c>
      <x:c r="M4" s="45" t="n">
        <x:v>4</x:v>
      </x:c>
      <x:c r="N4" s="45" t="n">
        <x:v>4</x:v>
      </x:c>
      <x:c r="O4" s="45" t="n">
        <x:v>4</x:v>
      </x:c>
      <x:c r="P4" s="45" t="n">
        <x:v>4</x:v>
      </x:c>
      <x:c r="Q4" s="45" t="n">
        <x:v>4</x:v>
      </x:c>
      <x:c r="R4" s="45" t="n">
        <x:v>4</x:v>
      </x:c>
      <x:c r="S4" s="45" t="n">
        <x:v>4</x:v>
      </x:c>
      <x:c r="T4" s="45" t="n">
        <x:v>4</x:v>
      </x:c>
      <x:c r="U4" s="45" t="n">
        <x:v>4</x:v>
      </x:c>
      <x:c r="V4" s="45" t="n">
        <x:v>4</x:v>
      </x:c>
      <x:c r="W4" s="45" t="n">
        <x:v>4</x:v>
      </x:c>
      <x:c r="X4" s="45" t="n">
        <x:v>4</x:v>
      </x:c>
      <x:c r="Y4" s="45" t="n">
        <x:v>4</x:v>
      </x:c>
      <x:c r="Z4" s="45" t="n">
        <x:v>4</x:v>
      </x:c>
    </x:row>
  </x:sheetData>
  <x:mergeCells>
    <x:mergeCell ref="A1:Z1"/>
  </x:mergeCells>
  <x:pageMargins left="0.7" right="0.7" top="0.75" bottom="0.75" header="0.3" footer="0.3"/>
</x:worksheet>
</file>